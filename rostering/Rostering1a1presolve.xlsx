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<sst xmlns="http://schemas.openxmlformats.org/spreadsheetml/2006/main" count="78" uniqueCount="43">
  <si>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</si>
  <si>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</si>
  <si>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</si>
  <si>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</si>
  <si>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</si>
  <si>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</si>
  <si>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</si>
  <si>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iter</t>
  </si>
  <si>
    <t xml:space="preserve">Time per iteration</t>
  </si>
  <si>
    <t xml:space="preserve">LagrangianDual</t>
  </si>
  <si>
    <t xml:space="preserve">[0.0, 0.0, 0.0]</t>
  </si>
  <si>
    <t xml:space="preserve">[0.0, 0.0, 0.0, 0.0]</t>
  </si>
  <si>
    <t xml:space="preserve">[0.0, 0.01, 0.01, 0.02]</t>
  </si>
  <si>
    <t xml:space="preserve">[0.0, 0.01, 0.02, 0.02, 0.04, 0.05, 0.03, 0.05, 0.05, 0.09, 0.05, 0.05, 0.05, 0.05, 0.07, 0.08, 0.07, 0.08, 0.08, 0.08, 0.09, 0.08, 0.09, 0.1, 0.1, 0.11, 0.11, 0.11, 0.12, 0.12, 0.12, 0.13, 0.12, 0.14, 0.15, 0.17, 0.16, 0.15]</t>
  </si>
  <si>
    <t xml:space="preserve">[0.0, 0.01, 0.02, 0.02, 0.03, 0.05, 0.08, 0.05, 0.05, 0.07, 0.06, 0.06, 0.07, 0.07, 0.07, 0.08, 0.09, 0.09, 0.1, 0.1, 0.11, 0.12, 0.11, 0.12, 0.13, 0.13, 0.14, 0.14, 0.16, 0.16, 0.17, 0.18, 0.18, 0.21, 0.21, 0.22, 0.23, 0.24, 0.23, 0.28, 0.27, 0.24, 0.24]</t>
  </si>
  <si>
    <t xml:space="preserve">[0.0, 0.01, 0.03, 0.01, 0.02, 0.03, 0.04, 0.04, 0.05, 0.04, 0.04, 0.06, 0.07, 0.07, 0.08, 0.12, 0.08, 0.1, 0.1, 0.1, 0.11, 0.16, 0.16, 0.14, 0.17, 0.16, 0.17, 0.18, 0.17, 0.22, 0.23, 0.26, 0.23, 0.23, 0.24, 0.26, 0.26, 0.24, 0.28, 0.3, 0.26, 0.3, 0.26, 0.26, 0.29, 0.26, 0.3, 0.32, 0.32, 0.37, 0.34, 0.4, 0.33, 0.37, 0.48, 0.37, 0.46, 0.56, 0.48, 0.42, 0.52, 0.43]</t>
  </si>
  <si>
    <t xml:space="preserve">[0.0, 0.01, 0.01, 0.01, 0.01, 0.02, 0.02, 0.06, 0.06]</t>
  </si>
  <si>
    <t xml:space="preserve">[0.0, 0.01, 0.02, 0.02, 0.02, 0.03, 0.03, 0.03, 0.04, 0.03, 0.04, 0.05, 0.05, 0.06, 0.07, 0.05, 0.05, 0.07, 0.07, 0.08, 0.08, 0.08]</t>
  </si>
  <si>
    <t xml:space="preserve">[0.0, 0.01, 0.01, 0.01, 0.03, 0.04, 0.04, 0.04, 0.06, 0.06, 0.05, 0.06, 0.07, 0.07, 0.07, 0.09, 0.08, 0.1, 0.09, 0.1, 0.11, 0.11, 0.12, 0.13, 0.13, 0.16, 0.15, 0.13, 0.14, 0.16, 0.15, 0.17, 0.16, 0.15]</t>
  </si>
  <si>
    <t xml:space="preserve">[0.0, 0.0, 0.0, 0.0, 0.01, 0.01]</t>
  </si>
  <si>
    <t xml:space="preserve">[0.0, 0.01, 0.01, 0.01, 0.02, 0.03, 0.03, 0.04, 0.04, 0.04, 0.06, 0.07]</t>
  </si>
  <si>
    <t xml:space="preserve">[0.0, 0.01, 0.02, 0.01, 0.01, 0.03, 0.04, 0.04, 0.05, 0.07, 0.05, 0.06, 0.06]</t>
  </si>
  <si>
    <t xml:space="preserve">[0.0, 0.0, 0.0, 0.0, 0.01]</t>
  </si>
  <si>
    <t xml:space="preserve">[0.0, 0.0, 0.0, 0.01, 0.02, 0.02, 0.03, 0.02, 0.03, 0.03, 0.04, 0.04, 0.04, 0.04, 0.04, 0.05, 0.05]</t>
  </si>
  <si>
    <t xml:space="preserve">[0.0, 0.0, 0.01, 0.01, 0.01, 0.02, 0.03, 0.03, 0.03, 0.04, 0.04, 0.04, 0.04, 0.05, 0.05, 0.05, 0.06, 0.06, 0.06, 0.07, 0.07, 0.07, 0.07, 0.08, 0.08, 0.09, 0.08, 0.09, 0.09, 0.09, 0.1, 0.1]</t>
  </si>
  <si>
    <t xml:space="preserve">[0.0, 0.01, 0.01, 0.03, 0.02, 0.04, 0.04]</t>
  </si>
  <si>
    <t xml:space="preserve">[0.0, 0.01, 0.01, 0.01, 0.03, 0.03, 0.03]</t>
  </si>
  <si>
    <t xml:space="preserve">[0.0, 0.01, 0.01, 0.01, 0.01, 0.01]</t>
  </si>
  <si>
    <t xml:space="preserve">[0.0, 0.0]</t>
  </si>
  <si>
    <t xml:space="preserve">[0.0, 0.0, 0.01, 0.01]</t>
  </si>
  <si>
    <t xml:space="preserve">[0.0, 0.0, 0.0, 0.01, 0.01, 0.02, 0.02, 0.02, 0.04, 0.04, 0.03, 0.05]</t>
  </si>
  <si>
    <t xml:space="preserve">[0.0, 0.01, 0.01, 0.0]</t>
  </si>
  <si>
    <t xml:space="preserve">[0.0, 0.01, 0.01, 0.02, 0.02, 0.02, 0.03, 0.04, 0.04, 0.04, 0.04, 0.04, 0.04, 0.06]</t>
  </si>
  <si>
    <t xml:space="preserve">[0.0, 0.01, 0.01, 0.01, 0.02, 0.02, 0.03, 0.03, 0.03, 0.03, 0.05, 0.04, 0.05, 0.04, 0.05, 0.05, 0.05, 0.07, 0.05]</t>
  </si>
  <si>
    <t xml:space="preserve">[0.0, 0.01, 0.01, 0.01, 0.02, 0.02, 0.04, 0.03]</t>
  </si>
  <si>
    <t xml:space="preserve">[0.0, 0.0, 0.01, 0.01, 0.01, 0.02, 0.04, 0.04, 0.03, 0.06]</t>
  </si>
  <si>
    <t xml:space="preserve">[0.0, 0.01, 0.01, 0.01, 0.02, 0.03, 0.03, 0.02, 0.05, 0.03, 0.04, 0.04, 0.04, 0.05, 0.06, 0.06, 0.06, 0.06, 0.06, 0.06, 0.05, 0.08, 0.08, 0.08, 0.08, 0.08, 0.08, 0.09, 0.09, 0.11, 0.1, 0.1, 0.11, 0.1, 0.11, 0.12, 0.11, 0.12, 0.12, 0.14, 0.13, 0.15, 0.13, 0.13, 0.14, 0.16, 0.17, 0.16, 0.15, 0.16, 0.17, 0.17, 0.18, 0.19, 0.19, 0.18, 0.19, 0.18, 0.22, 0.24, 0.21, 0.22, 0.23, 0.22, 0.26, 0.24, 0.23, 0.24, 0.26, 0.28, 0.26, 0.27, 0.26, 0.31, 0.31, 0.28, 0.32, 0.29, 0.29, 0.3, 0.35, 0.32, 0.33, 0.32, 0.36, 0.33, 0.34, 0.36, 0.39, 0.36, 0.37, 0.4, 0.39, 0.36, 0.43, 0.39, 0.43]</t>
  </si>
  <si>
    <t xml:space="preserve">[0.0, 0.01, 0.03, 0.01, 0.02, 0.02, 0.03, 0.03, 0.04, 0.04, 0.05, 0.05, 0.06, 0.05, 0.06, 0.07, 0.07, 0.08, 0.08, 0.08, 0.1, 0.11, 0.11, 0.1, 0.1, 0.11, 0.11, 0.12, 0.11, 0.12, 0.12, 0.13, 0.14, 0.15, 0.13, 0.14, 0.15, 0.14, 0.17, 0.14, 0.15, 0.16, 0.17, 0.18, 0.17, 0.17, 0.2, 0.18, 0.22, 0.24, 0.22, 0.23, 0.2, 0.24, 0.25, 0.24, 0.27, 0.32, 0.26, 0.29, 0.27, 0.31, 0.32, 0.31, 0.3, 0.32, 0.34, 0.35, 0.34, 0.4, 0.35, 0.33, 0.39, 0.41, 0.38, 0.38, 0.38, 0.45, 0.39, 0.47, 0.46, 0.44, 0.43, 0.48, 0.44, 0.48, 0.51, 0.56, 0.47, 0.49, 0.49, 0.52, 0.54, 0.56, 0.5, 0.56, 0.53, 0.59, 0.61, 0.54, 0.59, 0.64, 0.57, 0.56, 0.55, 0.68, 0.59, 0.63, 0.64, 0.62, 0.69, 0.81, 0.64, 0.66, 0.67, 0.7, 0.68, 0.64, 0.65, 0.65, 0.72, 0.72, 0.87, 0.72, 0.85, 0.73, 0.72, 0.77, 0.87, 0.75, 0.84, 0.94, 0.75, 0.77, 0.77, 0.77, 0.86, 0.83, 0.85, 0.97, 0.81, 0.9, 0.96, 0.83, 0.9, 0.83, 0.88, 1.12, 0.95, 0.89, 0.85, 1.03, 0.93, 0.98, 1.14, 1.07, 0.95, 1.02, 0.99, 1.05, 0.94, 1.2, 1.04, 1.04, 1.25, 1.04, 1.16, 1.23, 1.26, 1.13, 1.15, 1.14, 1.23, 1.23, 1.21, 1.21, 1.16, 1.26, 1.29, 1.38, 1.25, 1.45, 1.67, 1.38, 1.67, 1.28, 1.31, 1.4, 1.2, 1.67, 1.47, 1.45, 1.71, 1.36, 1.45, 1.66, 1.37, 1.35, 1.63, 1.68, 1.9, 1.76, 1.68, 1.56, 1.66, 1.58, 1.68, 1.58, 1.48, 2.0, 1.68, 1.8, 1.54, 1.46, 1.61, 1.62, 1.51, 1.47, 1.49, 1.9, 1.66, 1.68, 2.15, 1.5, 1.96, 2.02, 1.92, 1.58, 1.62]</t>
  </si>
  <si>
    <t xml:space="preserve">[0.0, 0.0, 0.09, 0.02, 0.03, 0.04, 0.03, 0.03, 0.04, 0.04, 0.05]</t>
  </si>
  <si>
    <t xml:space="preserve">Opt</t>
  </si>
  <si>
    <t xml:space="preserve">It</t>
  </si>
  <si>
    <t xml:space="preserve">(12, 3, 21)</t>
  </si>
  <si>
    <t xml:space="preserve">(24, 6, 42)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</si>
</sst>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0.60937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3684.35</v>
      </c>
      <c r="C2" s="0" t="n">
        <v>21</v>
      </c>
      <c r="D2" s="0" t="n">
        <v>3</v>
      </c>
      <c r="E2" s="0" t="n">
        <v>0.97054386138916</v>
      </c>
      <c r="F2" s="0" t="n">
        <v>0</v>
      </c>
      <c r="G2" s="0" t="n">
        <v>0.020237922668457</v>
      </c>
      <c r="H2" s="0" t="n">
        <v>8</v>
      </c>
      <c r="I2" s="0" t="s">
        <v>10</v>
      </c>
    </row>
    <row r="3" customFormat="false" ht="15.75" hidden="false" customHeight="false" outlineLevel="0" collapsed="false">
      <c r="A3" s="0" t="s">
        <v>9</v>
      </c>
      <c r="B3" s="0" t="n">
        <v>4109.54820359282</v>
      </c>
      <c r="C3" s="0" t="n">
        <v>21</v>
      </c>
      <c r="D3" s="0" t="n">
        <v>6</v>
      </c>
      <c r="E3" s="0" t="n">
        <v>1.04189395904541</v>
      </c>
      <c r="F3" s="0" t="n">
        <v>0.0523334972683931</v>
      </c>
      <c r="G3" s="0" t="n">
        <v>0.0312671661376953</v>
      </c>
      <c r="H3" s="0" t="n">
        <v>10</v>
      </c>
      <c r="I3" s="0" t="s">
        <v>11</v>
      </c>
    </row>
    <row r="4" customFormat="false" ht="15.75" hidden="false" customHeight="false" outlineLevel="0" collapsed="false">
      <c r="A4" s="0" t="s">
        <v>9</v>
      </c>
      <c r="B4" s="0" t="n">
        <v>4477.15</v>
      </c>
      <c r="C4" s="0" t="n">
        <v>21</v>
      </c>
      <c r="D4" s="0" t="n">
        <v>9</v>
      </c>
      <c r="E4" s="0" t="n">
        <v>1.20466804504395</v>
      </c>
      <c r="F4" s="0" t="n">
        <v>0.0502299415100237</v>
      </c>
      <c r="G4" s="0" t="n">
        <v>0.0792779922485352</v>
      </c>
      <c r="H4" s="0" t="n">
        <v>10</v>
      </c>
      <c r="I4" s="0" t="s">
        <v>12</v>
      </c>
    </row>
    <row r="5" customFormat="false" ht="15.75" hidden="false" customHeight="false" outlineLevel="0" collapsed="false">
      <c r="A5" s="0" t="s">
        <v>9</v>
      </c>
      <c r="B5" s="0" t="n">
        <v>1966.3</v>
      </c>
      <c r="C5" s="0" t="n">
        <v>21</v>
      </c>
      <c r="D5" s="0" t="n">
        <v>3</v>
      </c>
      <c r="E5" s="0" t="n">
        <v>13.2298781871796</v>
      </c>
      <c r="F5" s="0" t="n">
        <v>0.0482907612148962</v>
      </c>
      <c r="G5" s="0" t="n">
        <v>9.42093968391418</v>
      </c>
      <c r="H5" s="0" t="n">
        <v>115</v>
      </c>
      <c r="I5" s="0" t="s">
        <v>13</v>
      </c>
    </row>
    <row r="6" customFormat="false" ht="15.75" hidden="false" customHeight="false" outlineLevel="0" collapsed="false">
      <c r="A6" s="0" t="s">
        <v>9</v>
      </c>
      <c r="B6" s="0" t="n">
        <v>2134.95</v>
      </c>
      <c r="C6" s="0" t="n">
        <v>21</v>
      </c>
      <c r="D6" s="0" t="n">
        <v>6</v>
      </c>
      <c r="E6" s="0" t="n">
        <v>22.7904081344604</v>
      </c>
      <c r="F6" s="0" t="n">
        <v>0.0702099276837745</v>
      </c>
      <c r="G6" s="0" t="n">
        <v>17.8092412948608</v>
      </c>
      <c r="H6" s="0" t="n">
        <v>159</v>
      </c>
      <c r="I6" s="0" t="s">
        <v>14</v>
      </c>
    </row>
    <row r="7" customFormat="false" ht="15.75" hidden="false" customHeight="false" outlineLevel="0" collapsed="false">
      <c r="A7" s="0" t="s">
        <v>9</v>
      </c>
      <c r="B7" s="0" t="n">
        <v>2277.35</v>
      </c>
      <c r="C7" s="0" t="n">
        <v>21</v>
      </c>
      <c r="D7" s="0" t="n">
        <v>9</v>
      </c>
      <c r="E7" s="0" t="n">
        <v>29.3628339767456</v>
      </c>
      <c r="F7" s="0" t="n">
        <v>0.0965102761510067</v>
      </c>
      <c r="G7" s="0" t="n">
        <v>26.7473168373108</v>
      </c>
      <c r="H7" s="0" t="n">
        <v>126</v>
      </c>
      <c r="I7" s="0" t="s">
        <v>15</v>
      </c>
    </row>
    <row r="8" customFormat="false" ht="15.75" hidden="false" customHeight="false" outlineLevel="0" collapsed="false">
      <c r="A8" s="0" t="s">
        <v>9</v>
      </c>
      <c r="B8" s="0" t="n">
        <v>2706</v>
      </c>
      <c r="C8" s="0" t="n">
        <v>21</v>
      </c>
      <c r="D8" s="0" t="n">
        <v>3</v>
      </c>
      <c r="E8" s="0" t="n">
        <v>3.96329712867737</v>
      </c>
      <c r="F8" s="0" t="n">
        <v>1.00037190970644E-008</v>
      </c>
      <c r="G8" s="0" t="n">
        <v>0.686159372329712</v>
      </c>
      <c r="H8" s="0" t="n">
        <v>36</v>
      </c>
      <c r="I8" s="0" t="s">
        <v>16</v>
      </c>
    </row>
    <row r="9" customFormat="false" ht="15.75" hidden="false" customHeight="false" outlineLevel="0" collapsed="false">
      <c r="A9" s="0" t="s">
        <v>9</v>
      </c>
      <c r="B9" s="0" t="n">
        <v>2970.5</v>
      </c>
      <c r="C9" s="0" t="n">
        <v>21</v>
      </c>
      <c r="D9" s="0" t="n">
        <v>6</v>
      </c>
      <c r="E9" s="0" t="n">
        <v>4.67498087882996</v>
      </c>
      <c r="F9" s="0" t="n">
        <v>0.0958514806531323</v>
      </c>
      <c r="G9" s="0" t="n">
        <v>1.94755554199219</v>
      </c>
      <c r="H9" s="0" t="n">
        <v>53</v>
      </c>
      <c r="I9" s="0" t="s">
        <v>17</v>
      </c>
    </row>
    <row r="10" customFormat="false" ht="15.75" hidden="false" customHeight="false" outlineLevel="0" collapsed="false">
      <c r="A10" s="0" t="s">
        <v>9</v>
      </c>
      <c r="B10" s="0" t="n">
        <v>3163.65</v>
      </c>
      <c r="C10" s="0" t="n">
        <v>21</v>
      </c>
      <c r="D10" s="0" t="n">
        <v>9</v>
      </c>
      <c r="E10" s="0" t="n">
        <v>17.551008939743</v>
      </c>
      <c r="F10" s="0" t="n">
        <v>0.0773822684059195</v>
      </c>
      <c r="G10" s="0" t="n">
        <v>11.6032392978668</v>
      </c>
      <c r="H10" s="0" t="n">
        <v>145</v>
      </c>
      <c r="I10" s="0" t="s">
        <v>18</v>
      </c>
    </row>
    <row r="11" customFormat="false" ht="15.75" hidden="false" customHeight="false" outlineLevel="0" collapsed="false">
      <c r="A11" s="0" t="s">
        <v>9</v>
      </c>
      <c r="B11" s="0" t="n">
        <v>2846.4</v>
      </c>
      <c r="C11" s="0" t="n">
        <v>21</v>
      </c>
      <c r="D11" s="0" t="n">
        <v>3</v>
      </c>
      <c r="E11" s="0" t="n">
        <v>0.704349040985107</v>
      </c>
      <c r="F11" s="0" t="n">
        <v>1.0003738764474E-008</v>
      </c>
      <c r="G11" s="0" t="n">
        <v>0.052889347076416</v>
      </c>
      <c r="H11" s="0" t="n">
        <v>13</v>
      </c>
      <c r="I11" s="0" t="s">
        <v>19</v>
      </c>
    </row>
    <row r="12" customFormat="false" ht="15.75" hidden="false" customHeight="false" outlineLevel="0" collapsed="false">
      <c r="A12" s="0" t="s">
        <v>9</v>
      </c>
      <c r="B12" s="0" t="n">
        <v>3160.45</v>
      </c>
      <c r="C12" s="0" t="n">
        <v>21</v>
      </c>
      <c r="D12" s="0" t="n">
        <v>6</v>
      </c>
      <c r="E12" s="0" t="n">
        <v>1.52591991424561</v>
      </c>
      <c r="F12" s="0" t="n">
        <v>4.60438077753699E-013</v>
      </c>
      <c r="G12" s="0" t="n">
        <v>0.678349733352661</v>
      </c>
      <c r="H12" s="0" t="n">
        <v>25</v>
      </c>
      <c r="I12" s="0" t="s">
        <v>20</v>
      </c>
    </row>
    <row r="13" customFormat="false" ht="15.75" hidden="false" customHeight="false" outlineLevel="0" collapsed="false">
      <c r="A13" s="0" t="s">
        <v>9</v>
      </c>
      <c r="B13" s="0" t="n">
        <v>3425.39999999982</v>
      </c>
      <c r="C13" s="0" t="n">
        <v>21</v>
      </c>
      <c r="D13" s="0" t="n">
        <v>9</v>
      </c>
      <c r="E13" s="0" t="n">
        <v>3.60372996330261</v>
      </c>
      <c r="F13" s="0" t="n">
        <v>5.15098885222012E-012</v>
      </c>
      <c r="G13" s="0" t="n">
        <v>0.929178953170776</v>
      </c>
      <c r="H13" s="0" t="n">
        <v>33</v>
      </c>
      <c r="I13" s="0" t="s">
        <v>21</v>
      </c>
    </row>
    <row r="14" customFormat="false" ht="15.75" hidden="false" customHeight="false" outlineLevel="0" collapsed="false">
      <c r="A14" s="0" t="s">
        <v>9</v>
      </c>
      <c r="B14" s="0" t="n">
        <v>6049.5</v>
      </c>
      <c r="C14" s="0" t="n">
        <v>21</v>
      </c>
      <c r="D14" s="0" t="n">
        <v>3</v>
      </c>
      <c r="E14" s="0" t="n">
        <v>1.09760999679565</v>
      </c>
      <c r="F14" s="0" t="n">
        <v>0</v>
      </c>
      <c r="G14" s="0" t="n">
        <v>0.0443611145019531</v>
      </c>
      <c r="H14" s="0" t="n">
        <v>15</v>
      </c>
      <c r="I14" s="0" t="s">
        <v>22</v>
      </c>
    </row>
    <row r="15" customFormat="false" ht="15.75" hidden="false" customHeight="false" outlineLevel="0" collapsed="false">
      <c r="A15" s="0" t="s">
        <v>9</v>
      </c>
      <c r="B15" s="0" t="n">
        <v>6513.3</v>
      </c>
      <c r="C15" s="0" t="n">
        <v>21</v>
      </c>
      <c r="D15" s="0" t="n">
        <v>6</v>
      </c>
      <c r="E15" s="0" t="n">
        <v>2.7503080368042</v>
      </c>
      <c r="F15" s="0" t="n">
        <v>0.0859040635689987</v>
      </c>
      <c r="G15" s="0" t="n">
        <v>1.00807118415833</v>
      </c>
      <c r="H15" s="0" t="n">
        <v>45</v>
      </c>
      <c r="I15" s="0" t="s">
        <v>23</v>
      </c>
    </row>
    <row r="16" customFormat="false" ht="15.75" hidden="false" customHeight="false" outlineLevel="0" collapsed="false">
      <c r="A16" s="0" t="s">
        <v>9</v>
      </c>
      <c r="B16" s="0" t="n">
        <v>6925.8</v>
      </c>
      <c r="C16" s="0" t="n">
        <v>21</v>
      </c>
      <c r="D16" s="0" t="n">
        <v>9</v>
      </c>
      <c r="E16" s="0" t="n">
        <v>14.1964960098267</v>
      </c>
      <c r="F16" s="0" t="n">
        <v>0.0930433841826483</v>
      </c>
      <c r="G16" s="0" t="n">
        <v>5.55829310417175</v>
      </c>
      <c r="H16" s="0" t="n">
        <v>136</v>
      </c>
      <c r="I16" s="0" t="s">
        <v>24</v>
      </c>
    </row>
    <row r="17" customFormat="false" ht="15.75" hidden="false" customHeight="false" outlineLevel="0" collapsed="false">
      <c r="A17" s="0" t="s">
        <v>9</v>
      </c>
      <c r="B17" s="0" t="n">
        <v>1616.9</v>
      </c>
      <c r="C17" s="0" t="n">
        <v>21</v>
      </c>
      <c r="D17" s="0" t="n">
        <v>3</v>
      </c>
      <c r="E17" s="0" t="n">
        <v>0.887448787689209</v>
      </c>
      <c r="F17" s="0" t="n">
        <v>0.09268413247652</v>
      </c>
      <c r="G17" s="0" t="n">
        <v>0.290544748306274</v>
      </c>
      <c r="H17" s="0" t="n">
        <v>16</v>
      </c>
      <c r="I17" s="0" t="s">
        <v>25</v>
      </c>
    </row>
    <row r="18" customFormat="false" ht="15.75" hidden="false" customHeight="false" outlineLevel="0" collapsed="false">
      <c r="A18" s="0" t="s">
        <v>9</v>
      </c>
      <c r="B18" s="0" t="n">
        <v>1684.05</v>
      </c>
      <c r="C18" s="0" t="n">
        <v>21</v>
      </c>
      <c r="D18" s="0" t="n">
        <v>6</v>
      </c>
      <c r="E18" s="0" t="n">
        <v>0.815876960754395</v>
      </c>
      <c r="F18" s="0" t="n">
        <v>0.0830638701830426</v>
      </c>
      <c r="G18" s="0" t="n">
        <v>0.251692533493042</v>
      </c>
      <c r="H18" s="0" t="n">
        <v>17</v>
      </c>
      <c r="I18" s="0" t="s">
        <v>26</v>
      </c>
    </row>
    <row r="19" customFormat="false" ht="15.75" hidden="false" customHeight="false" outlineLevel="0" collapsed="false">
      <c r="A19" s="0" t="s">
        <v>9</v>
      </c>
      <c r="B19" s="0" t="n">
        <v>1735.95</v>
      </c>
      <c r="C19" s="0" t="n">
        <v>21</v>
      </c>
      <c r="D19" s="0" t="n">
        <v>9</v>
      </c>
      <c r="E19" s="0" t="n">
        <v>0.741795778274536</v>
      </c>
      <c r="F19" s="0" t="n">
        <v>0</v>
      </c>
      <c r="G19" s="0" t="n">
        <v>0.137818098068237</v>
      </c>
      <c r="H19" s="0" t="n">
        <v>15</v>
      </c>
      <c r="I19" s="0" t="s">
        <v>27</v>
      </c>
    </row>
    <row r="20" customFormat="false" ht="15.75" hidden="false" customHeight="false" outlineLevel="0" collapsed="false">
      <c r="A20" s="0" t="s">
        <v>9</v>
      </c>
      <c r="B20" s="0" t="n">
        <v>3872.2</v>
      </c>
      <c r="C20" s="0" t="n">
        <v>21</v>
      </c>
      <c r="D20" s="0" t="n">
        <v>3</v>
      </c>
      <c r="E20" s="0" t="n">
        <v>0.613864898681641</v>
      </c>
      <c r="F20" s="0" t="n">
        <v>0</v>
      </c>
      <c r="G20" s="0" t="n">
        <v>0.0121982097625732</v>
      </c>
      <c r="H20" s="0" t="n">
        <v>6</v>
      </c>
      <c r="I20" s="0" t="s">
        <v>28</v>
      </c>
    </row>
    <row r="21" customFormat="false" ht="15.75" hidden="false" customHeight="false" outlineLevel="0" collapsed="false">
      <c r="A21" s="0" t="s">
        <v>9</v>
      </c>
      <c r="B21" s="0" t="n">
        <v>4305.05</v>
      </c>
      <c r="C21" s="0" t="n">
        <v>21</v>
      </c>
      <c r="D21" s="0" t="n">
        <v>6</v>
      </c>
      <c r="E21" s="0" t="n">
        <v>6.7858190536499</v>
      </c>
      <c r="F21" s="0" t="n">
        <v>0.0649976206228207</v>
      </c>
      <c r="G21" s="0" t="n">
        <v>0.0423843860626221</v>
      </c>
      <c r="H21" s="0" t="n">
        <v>10</v>
      </c>
      <c r="I21" s="0" t="s">
        <v>29</v>
      </c>
    </row>
    <row r="22" customFormat="false" ht="15.75" hidden="false" customHeight="false" outlineLevel="0" collapsed="false">
      <c r="A22" s="0" t="s">
        <v>9</v>
      </c>
      <c r="B22" s="0" t="n">
        <v>4659.84999999973</v>
      </c>
      <c r="C22" s="0" t="n">
        <v>21</v>
      </c>
      <c r="D22" s="0" t="n">
        <v>9</v>
      </c>
      <c r="E22" s="0" t="n">
        <v>3.56588220596313</v>
      </c>
      <c r="F22" s="0" t="n">
        <v>0.0825524797965629</v>
      </c>
      <c r="G22" s="0" t="n">
        <v>0.658589839935303</v>
      </c>
      <c r="H22" s="0" t="n">
        <v>42</v>
      </c>
      <c r="I22" s="0" t="s">
        <v>30</v>
      </c>
    </row>
    <row r="23" customFormat="false" ht="15.75" hidden="false" customHeight="false" outlineLevel="0" collapsed="false">
      <c r="A23" s="0" t="s">
        <v>9</v>
      </c>
      <c r="B23" s="0" t="n">
        <v>2555.3</v>
      </c>
      <c r="C23" s="0" t="n">
        <v>21</v>
      </c>
      <c r="D23" s="0" t="n">
        <v>3</v>
      </c>
      <c r="E23" s="0" t="n">
        <v>17.7223219871521</v>
      </c>
      <c r="F23" s="0" t="n">
        <v>0</v>
      </c>
      <c r="G23" s="0" t="n">
        <v>0.059561014175415</v>
      </c>
      <c r="H23" s="0" t="n">
        <v>13</v>
      </c>
      <c r="I23" s="0" t="s">
        <v>31</v>
      </c>
    </row>
    <row r="24" customFormat="false" ht="15.75" hidden="false" customHeight="false" outlineLevel="0" collapsed="false">
      <c r="A24" s="0" t="s">
        <v>9</v>
      </c>
      <c r="B24" s="0" t="n">
        <v>2784.9</v>
      </c>
      <c r="C24" s="0" t="n">
        <v>21</v>
      </c>
      <c r="D24" s="0" t="n">
        <v>6</v>
      </c>
      <c r="E24" s="0" t="n">
        <v>17.7496709823608</v>
      </c>
      <c r="F24" s="0" t="n">
        <v>1.79619406792025E-013</v>
      </c>
      <c r="G24" s="0" t="n">
        <v>1.4553701877594</v>
      </c>
      <c r="H24" s="0" t="n">
        <v>53</v>
      </c>
      <c r="I24" s="0" t="s">
        <v>32</v>
      </c>
    </row>
    <row r="25" customFormat="false" ht="15.75" hidden="false" customHeight="false" outlineLevel="0" collapsed="false">
      <c r="A25" s="0" t="s">
        <v>9</v>
      </c>
      <c r="B25" s="0" t="n">
        <v>2978.69998217922</v>
      </c>
      <c r="C25" s="0" t="n">
        <v>21</v>
      </c>
      <c r="D25" s="0" t="n">
        <v>9</v>
      </c>
      <c r="E25" s="0" t="n">
        <v>112.464882135391</v>
      </c>
      <c r="F25" s="0" t="n">
        <v>5.9827387102415E-007</v>
      </c>
      <c r="G25" s="0" t="n">
        <v>1.47001671791077</v>
      </c>
      <c r="H25" s="0" t="n">
        <v>54</v>
      </c>
      <c r="I25" s="0" t="s">
        <v>33</v>
      </c>
    </row>
    <row r="26" customFormat="false" ht="15.75" hidden="false" customHeight="false" outlineLevel="0" collapsed="false">
      <c r="A26" s="0" t="s">
        <v>9</v>
      </c>
      <c r="B26" s="0" t="n">
        <v>3279.65</v>
      </c>
      <c r="C26" s="0" t="n">
        <v>21</v>
      </c>
      <c r="D26" s="0" t="n">
        <v>3</v>
      </c>
      <c r="E26" s="0" t="n">
        <v>0.728752136230469</v>
      </c>
      <c r="F26" s="0" t="n">
        <v>0</v>
      </c>
      <c r="G26" s="0" t="n">
        <v>0.047419548034668</v>
      </c>
      <c r="H26" s="0" t="n">
        <v>10</v>
      </c>
      <c r="I26" s="0" t="s">
        <v>29</v>
      </c>
    </row>
    <row r="27" customFormat="false" ht="15.75" hidden="false" customHeight="false" outlineLevel="0" collapsed="false">
      <c r="A27" s="0" t="s">
        <v>9</v>
      </c>
      <c r="B27" s="0" t="n">
        <v>3618.5</v>
      </c>
      <c r="C27" s="0" t="n">
        <v>21</v>
      </c>
      <c r="D27" s="0" t="n">
        <v>6</v>
      </c>
      <c r="E27" s="0" t="n">
        <v>2.91664910316467</v>
      </c>
      <c r="F27" s="0" t="n">
        <v>0.0924941673454149</v>
      </c>
      <c r="G27" s="0" t="n">
        <v>0.43536901473999</v>
      </c>
      <c r="H27" s="0" t="n">
        <v>31</v>
      </c>
      <c r="I27" s="0" t="s">
        <v>34</v>
      </c>
    </row>
    <row r="28" customFormat="false" ht="15.75" hidden="false" customHeight="false" outlineLevel="0" collapsed="false">
      <c r="A28" s="0" t="s">
        <v>9</v>
      </c>
      <c r="B28" s="0" t="n">
        <v>3912.84999999992</v>
      </c>
      <c r="C28" s="0" t="n">
        <v>21</v>
      </c>
      <c r="D28" s="0" t="n">
        <v>9</v>
      </c>
      <c r="E28" s="0" t="n">
        <v>2.87591910362244</v>
      </c>
      <c r="F28" s="0" t="n">
        <v>0.0995723495267676</v>
      </c>
      <c r="G28" s="0" t="n">
        <v>0.604726791381836</v>
      </c>
      <c r="H28" s="0" t="n">
        <v>30</v>
      </c>
      <c r="I28" s="0" t="s">
        <v>35</v>
      </c>
    </row>
    <row r="29" customFormat="false" ht="15.75" hidden="false" customHeight="false" outlineLevel="0" collapsed="false">
      <c r="A29" s="0" t="s">
        <v>9</v>
      </c>
      <c r="B29" s="0" t="n">
        <v>1614.05</v>
      </c>
      <c r="C29" s="0" t="n">
        <v>21</v>
      </c>
      <c r="D29" s="0" t="n">
        <v>3</v>
      </c>
      <c r="E29" s="0" t="n">
        <v>55.7230288982391</v>
      </c>
      <c r="F29" s="0" t="n">
        <v>0.0990313496116199</v>
      </c>
      <c r="G29" s="0" t="n">
        <v>51.2026405334473</v>
      </c>
      <c r="H29" s="0" t="n">
        <v>289</v>
      </c>
      <c r="I29" s="0" t="s">
        <v>36</v>
      </c>
    </row>
    <row r="30" customFormat="false" ht="15.75" hidden="false" customHeight="false" outlineLevel="0" collapsed="false">
      <c r="A30" s="0" t="s">
        <v>9</v>
      </c>
      <c r="B30" s="0" t="n">
        <v>1722.15</v>
      </c>
      <c r="C30" s="0" t="n">
        <v>21</v>
      </c>
      <c r="D30" s="0" t="n">
        <v>6</v>
      </c>
      <c r="E30" s="0" t="n">
        <v>264.885457992554</v>
      </c>
      <c r="F30" s="0" t="n">
        <v>0.0812276986452301</v>
      </c>
      <c r="G30" s="0" t="n">
        <v>258.543122291565</v>
      </c>
      <c r="H30" s="0" t="n">
        <v>400</v>
      </c>
      <c r="I30" s="0" t="s">
        <v>37</v>
      </c>
    </row>
    <row r="31" customFormat="false" ht="15.75" hidden="false" customHeight="false" outlineLevel="0" collapsed="false">
      <c r="A31" s="0" t="s">
        <v>9</v>
      </c>
      <c r="B31" s="0" t="n">
        <v>1887.95</v>
      </c>
      <c r="C31" s="0" t="n">
        <v>21</v>
      </c>
      <c r="D31" s="0" t="n">
        <v>9</v>
      </c>
      <c r="E31" s="0" t="n">
        <v>1.4617338180542</v>
      </c>
      <c r="F31" s="0" t="n">
        <v>0</v>
      </c>
      <c r="G31" s="0" t="n">
        <v>0.749327182769775</v>
      </c>
      <c r="H31" s="0" t="n">
        <v>24</v>
      </c>
      <c r="I31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O12" activeCellId="0" sqref="O12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D1" s="1" t="s">
        <v>39</v>
      </c>
      <c r="E1" s="1" t="s">
        <v>40</v>
      </c>
      <c r="F1" s="1" t="s">
        <v>4</v>
      </c>
    </row>
    <row r="2" customFormat="false" ht="15" hidden="false" customHeight="false" outlineLevel="0" collapsed="false">
      <c r="A2" s="1" t="s">
        <v>41</v>
      </c>
      <c r="B2" s="1" t="n">
        <v>21</v>
      </c>
      <c r="C2" s="1" t="n">
        <v>3</v>
      </c>
      <c r="D2" s="0" t="n">
        <f aca="false">SUMPRODUCT((C2=results!D$2:D$31)*(B2=results!C$2:C$31)*(results!E$2:E$31&lt;3600))</f>
        <v>10</v>
      </c>
      <c r="E2" s="0" t="n">
        <f aca="false">SUMPRODUCT(results!H$2:H$31*(C2=results!D$2:D$31)*(B2=results!C$2:C$31))/10</f>
        <v>52.1</v>
      </c>
      <c r="F2" s="0" t="n">
        <f aca="false">SUMPRODUCT((C2=results!D$2:D$31)*(B2=results!C$2:C$31)*(results!E$2:E$31&lt;3600)*results!E$2:E$31)/D2</f>
        <v>9.56410949230194</v>
      </c>
    </row>
    <row r="3" customFormat="false" ht="15" hidden="false" customHeight="false" outlineLevel="0" collapsed="false">
      <c r="A3" s="1" t="s">
        <v>41</v>
      </c>
      <c r="B3" s="1" t="n">
        <v>21</v>
      </c>
      <c r="C3" s="1" t="n">
        <v>6</v>
      </c>
      <c r="D3" s="0" t="n">
        <f aca="false">SUMPRODUCT((C3=results!D$2:D$31)*(B3=results!C$2:C$31)*(results!E$2:E$31&lt;3600))</f>
        <v>10</v>
      </c>
      <c r="E3" s="0" t="n">
        <f aca="false">SUMPRODUCT(results!H$2:H$31*(C3=results!D$2:D$31)*(B3=results!C$2:C$31))/10</f>
        <v>80.3</v>
      </c>
      <c r="F3" s="0" t="n">
        <f aca="false">SUMPRODUCT((C3=results!D$2:D$31)*(B3=results!C$2:C$31)*(results!E$2:E$31&lt;3600)*results!E$2:E$31)/D3</f>
        <v>32.5936985015869</v>
      </c>
    </row>
    <row r="4" customFormat="false" ht="15" hidden="false" customHeight="false" outlineLevel="0" collapsed="false">
      <c r="A4" s="1" t="s">
        <v>41</v>
      </c>
      <c r="B4" s="1" t="n">
        <v>21</v>
      </c>
      <c r="C4" s="1" t="n">
        <v>9</v>
      </c>
      <c r="D4" s="0" t="n">
        <f aca="false">SUMPRODUCT((C4=results!D$2:D$31)*(B4=results!C$2:C$31)*(results!E$2:E$31&lt;3600))</f>
        <v>10</v>
      </c>
      <c r="E4" s="0" t="n">
        <f aca="false">SUMPRODUCT(results!H$2:H$31*(C4=results!D$2:D$31)*(B4=results!C$2:C$31))/10</f>
        <v>61.5</v>
      </c>
      <c r="F4" s="0" t="n">
        <f aca="false">SUMPRODUCT((C4=results!D$2:D$31)*(B4=results!C$2:C$31)*(results!E$2:E$31&lt;3600)*results!E$2:E$31)/D4</f>
        <v>18.7028949975967</v>
      </c>
    </row>
    <row r="5" customFormat="false" ht="15" hidden="false" customHeight="false" outlineLevel="0" collapsed="false">
      <c r="A5" s="1" t="s">
        <v>42</v>
      </c>
      <c r="B5" s="1" t="n">
        <v>42</v>
      </c>
      <c r="C5" s="1" t="n">
        <v>3</v>
      </c>
      <c r="D5" s="0" t="n">
        <f aca="false">SUMPRODUCT((C5=results!D$2:D$31)*(B5=results!C$2:C$31)*(results!E$2:E$31&lt;3600))</f>
        <v>0</v>
      </c>
      <c r="E5" s="0" t="n">
        <f aca="false">SUMPRODUCT(results!H$2:H$31*(C5=results!D$2:D$31)*(B5=results!C$2:C$31))/10</f>
        <v>0</v>
      </c>
      <c r="F5" s="0" t="e">
        <f aca="false">SUMPRODUCT((C5=results!D$2:D$31)*(B5=results!C$2:C$31)*(results!E$2:E$31&lt;3600)*results!E$2:E$31)/D5</f>
        <v>#DIV/0!</v>
      </c>
    </row>
    <row r="6" customFormat="false" ht="15" hidden="false" customHeight="false" outlineLevel="0" collapsed="false">
      <c r="A6" s="1" t="s">
        <v>42</v>
      </c>
      <c r="B6" s="1" t="n">
        <v>42</v>
      </c>
      <c r="C6" s="1" t="n">
        <v>6</v>
      </c>
      <c r="D6" s="0" t="n">
        <f aca="false">SUMPRODUCT((C6=results!D$2:D$31)*(B6=results!C$2:C$31)*(results!E$2:E$31&lt;3600))</f>
        <v>0</v>
      </c>
      <c r="E6" s="0" t="n">
        <f aca="false">SUMPRODUCT(results!H$2:H$31*(C6=results!D$2:D$31)*(B6=results!C$2:C$31))/10</f>
        <v>0</v>
      </c>
      <c r="F6" s="0" t="e">
        <f aca="false">SUMPRODUCT((C6=results!D$2:D$31)*(B6=results!C$2:C$31)*(results!E$2:E$31&lt;3600)*results!E$2:E$31)/D6</f>
        <v>#DIV/0!</v>
      </c>
    </row>
    <row r="7" customFormat="false" ht="15" hidden="false" customHeight="false" outlineLevel="0" collapsed="false">
      <c r="A7" s="1" t="s">
        <v>42</v>
      </c>
      <c r="B7" s="1" t="n">
        <v>42</v>
      </c>
      <c r="C7" s="1" t="n">
        <v>9</v>
      </c>
      <c r="D7" s="0" t="n">
        <f aca="false">SUMPRODUCT((C7=results!D$2:D$31)*(B7=results!C$2:C$31)*(results!E$2:E$31&lt;3600))</f>
        <v>0</v>
      </c>
      <c r="E7" s="0" t="n">
        <f aca="false">SUMPRODUCT(results!H$2:H$31*(C7=results!D$2:D$31)*(B7=results!C$2:C$31))/10</f>
        <v>0</v>
      </c>
      <c r="F7" s="0" t="e">
        <f aca="false">SUMPRODUCT((C7=results!D$2:D$31)*(B7=results!C$2:C$31)*(results!E$2:E$31&lt;3600)*results!E$2:E$31)/D7</f>
        <v>#DIV/0!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2026-02-06T08:39:24Z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