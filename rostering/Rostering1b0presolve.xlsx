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lts" sheetId="1" state="visible" r:id="rId2"/>
    <sheet name="Feuille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<sst xmlns="http://schemas.openxmlformats.org/spreadsheetml/2006/main" count="78" uniqueCount="42">
  <si>
    <t xml:space="preserve">method</t>
  </si>
  <si>
    <t xml:space="preserve">objective</t>
  </si>
  <si>
    <t xml:space="preserve">scale</t>
  </si>
  <si>
    <t xml:space="preserve">budget</t>
  </si>
  <si>
    <t xml:space="preserve">Time</t>
  </si>
  <si>
    <t xml:space="preserve">gap</t>
  </si>
  <si>
    <t xml:space="preserve">Time tot worstcase</t>
  </si>
  <si>
    <t xml:space="preserve">Nb iter</t>
  </si>
  <si>
    <t xml:space="preserve">Time per iteration</t>
  </si>
  <si>
    <t xml:space="preserve">LagrangianDualbis</t>
  </si>
  <si>
    <t xml:space="preserve">[0.0, 0.01, 0.01]</t>
  </si>
  <si>
    <t xml:space="preserve">[0.0, 0.0, 0.0, 0.0]</t>
  </si>
  <si>
    <t xml:space="preserve">[0.0, 0.0, 0.0, 0.01]</t>
  </si>
  <si>
    <t xml:space="preserve">[0.0, 0.01, 0.01, 0.03, 0.1, 0.08, 0.13, 0.08, 0.08, 0.09, 0.08, 0.1, 0.1, 0.12, 0.11, 0.13, 0.14, 0.14, 0.12, 0.15, 0.14, 0.19, 0.16, 0.17, 0.17, 0.17, 0.18, 0.18, 0.19, 0.22, 0.2, 0.19, 0.25, 0.22, 0.2, 0.25, 0.3, 0.23]</t>
  </si>
  <si>
    <t xml:space="preserve">[0.0, 0.01, 0.01, 0.02, 0.03, 0.1, 0.15, 0.07, 0.08, 0.1, 0.1, 0.1, 0.1, 0.12, 0.12, 0.14, 0.15, 0.14, 0.15, 0.15, 0.17, 0.16, 0.18, 0.18, 0.2, 0.21, 0.21, 0.23, 0.23, 0.26, 0.25, 0.25, 0.27, 0.28, 0.3, 0.28, 0.3, 0.27, 0.28, 0.33, 0.32, 0.36, 0.31]</t>
  </si>
  <si>
    <t xml:space="preserve">[0.0, 0.01, 0.02, 0.03, 0.08, 0.06, 0.07, 0.06, 0.08, 0.08, 0.09, 0.13, 0.12, 0.14, 0.15, 0.17, 0.17, 0.2, 0.21, 0.25, 0.21, 0.23, 0.26, 0.26, 0.25, 0.3, 0.29, 0.28, 0.27, 0.31, 0.27, 0.34, 0.24, 0.38, 0.27, 0.34, 0.37, 0.4, 0.36, 0.38, 0.42, 0.41, 0.35, 0.44, 0.49, 0.45, 0.46, 0.49, 0.51, 0.57, 0.51, 0.45, 0.46, 0.47, 0.44, 0.47, 0.5, 0.54, 0.57, 0.56, 0.6, 0.63]</t>
  </si>
  <si>
    <t xml:space="preserve">[0.0, 0.01, 0.01, 0.01, 0.01, 0.01, 0.02, 0.05, 0.05]</t>
  </si>
  <si>
    <t xml:space="preserve">[0.0, 0.01, 0.03, 0.04, 0.05, 0.07, 0.06, 0.08, 0.08, 0.09, 0.08, 0.09, 0.1, 0.1, 0.12, 0.11, 0.14, 0.15, 0.1, 0.11, 0.14, 0.14]</t>
  </si>
  <si>
    <t xml:space="preserve">[0.0, 0.01, 0.03, 0.03, 0.11, 0.12, 0.17, 0.16, 0.15, 0.09, 0.1, 0.13, 0.11, 0.13, 0.14, 0.12, 0.13, 0.13, 0.14, 0.15, 0.18, 0.16, 0.18, 0.17, 0.19, 0.22, 0.21, 0.24, 0.23, 0.2, 0.22, 0.23, 0.23, 0.33]</t>
  </si>
  <si>
    <t xml:space="preserve">[0.0, 0.0, 0.0, 0.0, 0.01, 0.01]</t>
  </si>
  <si>
    <t xml:space="preserve">[0.0, 0.01, 0.03, 0.01, 0.02, 0.03, 0.05, 0.05, 0.07, 0.07, 0.1, 0.07]</t>
  </si>
  <si>
    <t xml:space="preserve">[0.0, 0.01, 0.02, 0.02, 0.03, 0.05, 0.06, 0.05, 0.1, 0.08, 0.07, 0.08]</t>
  </si>
  <si>
    <t xml:space="preserve">[0.0, 0.0, 0.0, 0.0, 0.0]</t>
  </si>
  <si>
    <t xml:space="preserve">[0.0, 0.0, 0.0, 0.01, 0.01, 0.01, 0.02, 0.02, 0.03, 0.03, 0.03, 0.04, 0.03, 0.04, 0.04, 0.06, 0.05]</t>
  </si>
  <si>
    <t xml:space="preserve">[0.0, 0.0, 0.0, 0.01, 0.01, 0.03, 0.04, 0.04, 0.07, 0.05, 0.04, 0.05, 0.05, 0.06, 0.06, 0.06, 0.06, 0.07, 0.07, 0.07, 0.07, 0.07, 0.07, 0.08, 0.09, 0.07]</t>
  </si>
  <si>
    <t xml:space="preserve">[0.0, 0.01, 0.01, 0.03, 0.02, 0.03, 0.05]</t>
  </si>
  <si>
    <t xml:space="preserve">[0.0, 0.01, 0.01, 0.04, 0.07, 0.06, 0.06]</t>
  </si>
  <si>
    <t xml:space="preserve">[0.0, 0.01, 0.01, 0.03, 0.03, 0.04]</t>
  </si>
  <si>
    <t xml:space="preserve">[0.0, 0.0]</t>
  </si>
  <si>
    <t xml:space="preserve">[0.0, 0.0, 0.01, 0.01, 0.01, 0.01, 0.02, 0.02, 0.05, 0.04, 0.03, 0.06]</t>
  </si>
  <si>
    <t xml:space="preserve">[0.0, 0.02, 0.01, 0.01]</t>
  </si>
  <si>
    <t xml:space="preserve">[0.0, 0.01, 0.01, 0.03, 0.03, 0.04, 0.05, 0.09, 0.11, 0.08, 0.12, 0.09, 0.11, 0.12]</t>
  </si>
  <si>
    <t xml:space="preserve">[0.0, 0.01, 0.01, 0.03, 0.04, 0.06, 0.07, 0.1, 0.09, 0.09, 0.13, 0.09, 0.11, 0.09, 0.1, 0.12, 0.11, 0.12, 0.13]</t>
  </si>
  <si>
    <t xml:space="preserve">[0.0, 0.0, 0.01, 0.01, 0.02, 0.02, 0.03, 0.04, 0.11, 0.12]</t>
  </si>
  <si>
    <t xml:space="preserve">[0.0, 0.01, 0.02, 0.02, 0.02, 0.03, 0.06, 0.06, 0.08, 0.08]</t>
  </si>
  <si>
    <t xml:space="preserve">[0.0, 0.01, 0.01, 0.04, 0.05, 0.06, 0.1, 0.09, 0.1, 0.08, 0.14, 0.09, 0.09, 0.09, 0.1, 0.11, 0.1, 0.11, 0.13, 0.12, 0.13, 0.19, 0.13, 0.13, 0.14, 0.14, 0.15, 0.17, 0.17, 0.15, 0.17, 0.18, 0.19, 0.3, 0.21, 0.21, 0.22, 0.2, 0.24, 0.23, 0.25, 0.25, 0.23, 0.25, 0.25, 0.28, 0.28, 0.27, 0.29, 0.3, 0.29, 0.28, 0.33, 0.42, 0.29, 0.33, 0.33, 0.39, 0.34, 0.37, 0.37, 0.37, 0.38, 0.37, 0.38, 0.34, 0.38, 0.39, 0.4, 0.42, 0.41, 0.46, 0.4, 0.44, 0.47, 0.45, 0.46, 0.45, 0.48, 0.48, 0.52, 0.53, 0.53, 0.49, 0.65, 0.51, 0.55, 0.53, 0.75, 0.58, 0.63, 0.6, 0.61, 0.62, 0.62, 0.63, 0.75]</t>
  </si>
  <si>
    <t xml:space="preserve">[0.0, 0.0, 0.01, 0.05, 0.1, 0.06, 0.07, 0.1, 0.13, 0.18, 0.1, 0.09, 0.1, 0.11, 0.13, 0.14, 0.13, 0.15, 0.16, 0.16, 0.18, 0.18, 0.18, 0.2, 0.2, 0.21, 0.22, 0.22, 0.21, 0.25, 0.23, 0.23, 0.28, 0.27, 0.27, 0.27, 0.3, 0.29, 0.27, 0.31, 0.33, 0.33, 0.32, 0.33, 0.37, 0.35, 0.4, 0.37, 0.43, 0.43, 0.45, 0.42, 0.52, 0.46, 0.49, 0.59, 0.56, 0.5, 0.54, 0.57, 0.56, 0.54, 0.56, 0.6, 0.57, 0.64, 0.6, 0.7, 0.67, 0.62, 0.73, 0.72, 0.68, 0.66, 0.73, 0.79, 0.78, 0.76, 0.78, 0.99, 0.87, 0.81, 0.86, 0.95, 0.93, 0.94, 1.0, 0.94, 0.97, 1.02, 0.94, 0.98, 1.07, 1.02, 1.03, 1.09, 1.03, 1.04, 1.43, 1.15, 1.12, 1.11, 1.08, 1.1, 1.13, 1.15, 1.34, 1.14, 1.16, 1.52, 1.15, 1.17, 1.26, 1.23, 1.21, 1.31, 1.5, 1.46, 1.41, 1.48, 1.56, 1.37, 1.48, 1.4, 1.67, 1.39, 1.51, 1.47, 1.73, 1.53, 1.58, 1.77, 1.74, 1.54, 1.61, 1.58, 1.78, 1.81, 1.56, 2.21, 1.72, 1.78, 1.8, 1.75, 2.01, 1.85, 1.98, 1.89, 1.84, 2.18, 2.04, 1.81, 2.12, 1.88, 1.92, 2.06, 1.81, 2.01, 2.42, 2.27, 2.53, 2.03, 2.63, 2.21, 2.11, 2.27, 2.46, 2.01, 2.1, 2.06, 2.16, 2.4, 2.37, 2.0, 2.19, 2.71, 2.44, 2.14, 2.62, 2.69, 3.0, 2.14, 2.41, 2.84, 2.41, 2.85, 3.04, 2.58, 2.8, 2.2, 2.35, 3.04, 3.18, 2.92, 2.63, 2.32, 2.5, 3.3, 3.0, 2.92, 2.8, 3.07, 3.28, 2.75, 2.78, 3.39, 2.54, 3.34, 3.11, 2.5, 2.96, 3.01, 3.26, 3.02, 2.98, 3.18, 2.87, 2.82, 2.85, 2.92, 2.69, 2.72, 3.32, 2.76, 2.98, 2.77, 2.8]</t>
  </si>
  <si>
    <t xml:space="preserve">[0.0, 0.0, 0.01, 0.04, 0.04, 0.05, 0.05, 0.06, 0.05, 0.09, 0.09]</t>
  </si>
  <si>
    <t xml:space="preserve">Opt</t>
  </si>
  <si>
    <t xml:space="preserve">It</t>
  </si>
  <si>
    <t xml:space="preserve">(12, 3, 21)</t>
  </si>
  <si>
    <t xml:space="preserve">(24, 6, 42)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</si>
</sst>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60937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n">
        <v>3684.35</v>
      </c>
      <c r="C2" s="0" t="n">
        <v>21</v>
      </c>
      <c r="D2" s="0" t="n">
        <v>3</v>
      </c>
      <c r="E2" s="0" t="n">
        <v>0.820646047592163</v>
      </c>
      <c r="F2" s="0" t="n">
        <v>0</v>
      </c>
      <c r="G2" s="0" t="n">
        <v>0.0422754287719727</v>
      </c>
      <c r="H2" s="0" t="n">
        <v>8</v>
      </c>
      <c r="I2" s="0" t="s">
        <v>10</v>
      </c>
    </row>
    <row r="3" customFormat="false" ht="15" hidden="false" customHeight="false" outlineLevel="0" collapsed="false">
      <c r="A3" s="0" t="s">
        <v>9</v>
      </c>
      <c r="B3" s="0" t="n">
        <v>4109.54820359282</v>
      </c>
      <c r="C3" s="0" t="n">
        <v>21</v>
      </c>
      <c r="D3" s="0" t="n">
        <v>6</v>
      </c>
      <c r="E3" s="0" t="n">
        <v>0.755584001541138</v>
      </c>
      <c r="F3" s="0" t="n">
        <v>0.0523334972683931</v>
      </c>
      <c r="G3" s="0" t="n">
        <v>0.0285933017730713</v>
      </c>
      <c r="H3" s="0" t="n">
        <v>10</v>
      </c>
      <c r="I3" s="0" t="s">
        <v>11</v>
      </c>
    </row>
    <row r="4" customFormat="false" ht="15" hidden="false" customHeight="false" outlineLevel="0" collapsed="false">
      <c r="A4" s="0" t="s">
        <v>9</v>
      </c>
      <c r="B4" s="0" t="n">
        <v>4477.15</v>
      </c>
      <c r="C4" s="0" t="n">
        <v>21</v>
      </c>
      <c r="D4" s="0" t="n">
        <v>9</v>
      </c>
      <c r="E4" s="0" t="n">
        <v>1.10307693481445</v>
      </c>
      <c r="F4" s="0" t="n">
        <v>0.0502299415100237</v>
      </c>
      <c r="G4" s="0" t="n">
        <v>0.0418999195098877</v>
      </c>
      <c r="H4" s="0" t="n">
        <v>10</v>
      </c>
      <c r="I4" s="0" t="s">
        <v>12</v>
      </c>
    </row>
    <row r="5" customFormat="false" ht="15" hidden="false" customHeight="false" outlineLevel="0" collapsed="false">
      <c r="A5" s="0" t="s">
        <v>9</v>
      </c>
      <c r="B5" s="0" t="n">
        <v>1966.3</v>
      </c>
      <c r="C5" s="0" t="n">
        <v>21</v>
      </c>
      <c r="D5" s="0" t="n">
        <v>3</v>
      </c>
      <c r="E5" s="0" t="n">
        <v>18.389004945755</v>
      </c>
      <c r="F5" s="0" t="n">
        <v>0.0482907612148962</v>
      </c>
      <c r="G5" s="0" t="n">
        <v>16.0356736183167</v>
      </c>
      <c r="H5" s="0" t="n">
        <v>115</v>
      </c>
      <c r="I5" s="0" t="s">
        <v>13</v>
      </c>
    </row>
    <row r="6" customFormat="false" ht="15" hidden="false" customHeight="false" outlineLevel="0" collapsed="false">
      <c r="A6" s="0" t="s">
        <v>9</v>
      </c>
      <c r="B6" s="0" t="n">
        <v>2134.95</v>
      </c>
      <c r="C6" s="0" t="n">
        <v>21</v>
      </c>
      <c r="D6" s="0" t="n">
        <v>6</v>
      </c>
      <c r="E6" s="0" t="n">
        <v>29.2577641010284</v>
      </c>
      <c r="F6" s="0" t="n">
        <v>0.0702099276837745</v>
      </c>
      <c r="G6" s="0" t="n">
        <v>25.95081615448</v>
      </c>
      <c r="H6" s="0" t="n">
        <v>159</v>
      </c>
      <c r="I6" s="0" t="s">
        <v>14</v>
      </c>
    </row>
    <row r="7" customFormat="false" ht="15" hidden="false" customHeight="false" outlineLevel="0" collapsed="false">
      <c r="A7" s="0" t="s">
        <v>9</v>
      </c>
      <c r="B7" s="0" t="n">
        <v>2277.35</v>
      </c>
      <c r="C7" s="0" t="n">
        <v>21</v>
      </c>
      <c r="D7" s="0" t="n">
        <v>9</v>
      </c>
      <c r="E7" s="0" t="n">
        <v>39.5524671077728</v>
      </c>
      <c r="F7" s="0" t="n">
        <v>0.0965102761510067</v>
      </c>
      <c r="G7" s="0" t="n">
        <v>37.7938411235809</v>
      </c>
      <c r="H7" s="0" t="n">
        <v>126</v>
      </c>
      <c r="I7" s="0" t="s">
        <v>15</v>
      </c>
    </row>
    <row r="8" customFormat="false" ht="15" hidden="false" customHeight="false" outlineLevel="0" collapsed="false">
      <c r="A8" s="0" t="s">
        <v>9</v>
      </c>
      <c r="B8" s="0" t="n">
        <v>2706</v>
      </c>
      <c r="C8" s="0" t="n">
        <v>21</v>
      </c>
      <c r="D8" s="0" t="n">
        <v>3</v>
      </c>
      <c r="E8" s="0" t="n">
        <v>3.51105189323425</v>
      </c>
      <c r="F8" s="0" t="n">
        <v>0</v>
      </c>
      <c r="G8" s="0" t="n">
        <v>0.561456918716431</v>
      </c>
      <c r="H8" s="0" t="n">
        <v>36</v>
      </c>
      <c r="I8" s="0" t="s">
        <v>16</v>
      </c>
    </row>
    <row r="9" customFormat="false" ht="15" hidden="false" customHeight="false" outlineLevel="0" collapsed="false">
      <c r="A9" s="0" t="s">
        <v>9</v>
      </c>
      <c r="B9" s="0" t="n">
        <v>2970.5</v>
      </c>
      <c r="C9" s="0" t="n">
        <v>21</v>
      </c>
      <c r="D9" s="0" t="n">
        <v>6</v>
      </c>
      <c r="E9" s="0" t="n">
        <v>5.92221999168396</v>
      </c>
      <c r="F9" s="0" t="n">
        <v>0.0958514806531323</v>
      </c>
      <c r="G9" s="0" t="n">
        <v>3.79255104064941</v>
      </c>
      <c r="H9" s="0" t="n">
        <v>53</v>
      </c>
      <c r="I9" s="0" t="s">
        <v>17</v>
      </c>
    </row>
    <row r="10" customFormat="false" ht="15" hidden="false" customHeight="false" outlineLevel="0" collapsed="false">
      <c r="A10" s="0" t="s">
        <v>9</v>
      </c>
      <c r="B10" s="0" t="n">
        <v>3163.65</v>
      </c>
      <c r="C10" s="0" t="n">
        <v>21</v>
      </c>
      <c r="D10" s="0" t="n">
        <v>9</v>
      </c>
      <c r="E10" s="0" t="n">
        <v>24.6676580905914</v>
      </c>
      <c r="F10" s="0" t="n">
        <v>0.0773822684059339</v>
      </c>
      <c r="G10" s="0" t="n">
        <v>19.9806385040283</v>
      </c>
      <c r="H10" s="0" t="n">
        <v>145</v>
      </c>
      <c r="I10" s="0" t="s">
        <v>18</v>
      </c>
    </row>
    <row r="11" customFormat="false" ht="15" hidden="false" customHeight="false" outlineLevel="0" collapsed="false">
      <c r="A11" s="0" t="s">
        <v>9</v>
      </c>
      <c r="B11" s="0" t="n">
        <v>2846.4</v>
      </c>
      <c r="C11" s="0" t="n">
        <v>21</v>
      </c>
      <c r="D11" s="0" t="n">
        <v>3</v>
      </c>
      <c r="E11" s="0" t="n">
        <v>0.617954969406128</v>
      </c>
      <c r="F11" s="0" t="n">
        <v>0</v>
      </c>
      <c r="G11" s="0" t="n">
        <v>0.0511493682861328</v>
      </c>
      <c r="H11" s="0" t="n">
        <v>13</v>
      </c>
      <c r="I11" s="0" t="s">
        <v>19</v>
      </c>
    </row>
    <row r="12" customFormat="false" ht="15" hidden="false" customHeight="false" outlineLevel="0" collapsed="false">
      <c r="A12" s="0" t="s">
        <v>9</v>
      </c>
      <c r="B12" s="0" t="n">
        <v>3160.45</v>
      </c>
      <c r="C12" s="0" t="n">
        <v>21</v>
      </c>
      <c r="D12" s="0" t="n">
        <v>6</v>
      </c>
      <c r="E12" s="0" t="n">
        <v>1.70881199836731</v>
      </c>
      <c r="F12" s="0" t="n">
        <v>0</v>
      </c>
      <c r="G12" s="0" t="n">
        <v>0.913316011428833</v>
      </c>
      <c r="H12" s="0" t="n">
        <v>25</v>
      </c>
      <c r="I12" s="0" t="s">
        <v>20</v>
      </c>
    </row>
    <row r="13" customFormat="false" ht="15" hidden="false" customHeight="false" outlineLevel="0" collapsed="false">
      <c r="A13" s="0" t="s">
        <v>9</v>
      </c>
      <c r="B13" s="0" t="n">
        <v>3425.39999999982</v>
      </c>
      <c r="C13" s="0" t="n">
        <v>21</v>
      </c>
      <c r="D13" s="0" t="n">
        <v>9</v>
      </c>
      <c r="E13" s="0" t="n">
        <v>3.45608687400818</v>
      </c>
      <c r="F13" s="0" t="n">
        <v>5.15098885222012E-012</v>
      </c>
      <c r="G13" s="0" t="n">
        <v>1.27438378334045</v>
      </c>
      <c r="H13" s="0" t="n">
        <v>32</v>
      </c>
      <c r="I13" s="0" t="s">
        <v>21</v>
      </c>
    </row>
    <row r="14" customFormat="false" ht="15" hidden="false" customHeight="false" outlineLevel="0" collapsed="false">
      <c r="A14" s="0" t="s">
        <v>9</v>
      </c>
      <c r="B14" s="0" t="n">
        <v>6044.7</v>
      </c>
      <c r="C14" s="0" t="n">
        <v>21</v>
      </c>
      <c r="D14" s="0" t="n">
        <v>3</v>
      </c>
      <c r="E14" s="0" t="n">
        <v>1.03831505775452</v>
      </c>
      <c r="F14" s="0" t="n">
        <v>0.0942086473621549</v>
      </c>
      <c r="G14" s="0" t="n">
        <v>0.0388145446777344</v>
      </c>
      <c r="H14" s="0" t="n">
        <v>16</v>
      </c>
      <c r="I14" s="0" t="s">
        <v>22</v>
      </c>
    </row>
    <row r="15" customFormat="false" ht="15" hidden="false" customHeight="false" outlineLevel="0" collapsed="false">
      <c r="A15" s="0" t="s">
        <v>9</v>
      </c>
      <c r="B15" s="0" t="n">
        <v>6513.3</v>
      </c>
      <c r="C15" s="0" t="n">
        <v>21</v>
      </c>
      <c r="D15" s="0" t="n">
        <v>6</v>
      </c>
      <c r="E15" s="0" t="n">
        <v>2.37885618209839</v>
      </c>
      <c r="F15" s="0" t="n">
        <v>0.0966316951960271</v>
      </c>
      <c r="G15" s="0" t="n">
        <v>0.999217510223389</v>
      </c>
      <c r="H15" s="0" t="n">
        <v>46</v>
      </c>
      <c r="I15" s="0" t="s">
        <v>23</v>
      </c>
    </row>
    <row r="16" customFormat="false" ht="15" hidden="false" customHeight="false" outlineLevel="0" collapsed="false">
      <c r="A16" s="0" t="s">
        <v>9</v>
      </c>
      <c r="B16" s="0" t="n">
        <v>6926.3</v>
      </c>
      <c r="C16" s="0" t="n">
        <v>21</v>
      </c>
      <c r="D16" s="0" t="n">
        <v>9</v>
      </c>
      <c r="E16" s="0" t="n">
        <v>10.0604419708252</v>
      </c>
      <c r="F16" s="0" t="n">
        <v>0.0879926143903908</v>
      </c>
      <c r="G16" s="0" t="n">
        <v>5.18773913383484</v>
      </c>
      <c r="H16" s="0" t="n">
        <v>121</v>
      </c>
      <c r="I16" s="0" t="s">
        <v>24</v>
      </c>
    </row>
    <row r="17" customFormat="false" ht="15" hidden="false" customHeight="false" outlineLevel="0" collapsed="false">
      <c r="A17" s="0" t="s">
        <v>9</v>
      </c>
      <c r="B17" s="0" t="n">
        <v>1616.9</v>
      </c>
      <c r="C17" s="0" t="n">
        <v>21</v>
      </c>
      <c r="D17" s="0" t="n">
        <v>3</v>
      </c>
      <c r="E17" s="0" t="n">
        <v>0.886209011077881</v>
      </c>
      <c r="F17" s="0" t="n">
        <v>0.09268413247652</v>
      </c>
      <c r="G17" s="0" t="n">
        <v>0.305458307266235</v>
      </c>
      <c r="H17" s="0" t="n">
        <v>16</v>
      </c>
      <c r="I17" s="0" t="s">
        <v>25</v>
      </c>
    </row>
    <row r="18" customFormat="false" ht="15" hidden="false" customHeight="false" outlineLevel="0" collapsed="false">
      <c r="A18" s="0" t="s">
        <v>9</v>
      </c>
      <c r="B18" s="0" t="n">
        <v>1684.05</v>
      </c>
      <c r="C18" s="0" t="n">
        <v>21</v>
      </c>
      <c r="D18" s="0" t="n">
        <v>6</v>
      </c>
      <c r="E18" s="0" t="n">
        <v>1.08490610122681</v>
      </c>
      <c r="F18" s="0" t="n">
        <v>0.0830638701830426</v>
      </c>
      <c r="G18" s="0" t="n">
        <v>0.501405477523804</v>
      </c>
      <c r="H18" s="0" t="n">
        <v>17</v>
      </c>
      <c r="I18" s="0" t="s">
        <v>26</v>
      </c>
    </row>
    <row r="19" customFormat="false" ht="15" hidden="false" customHeight="false" outlineLevel="0" collapsed="false">
      <c r="A19" s="0" t="s">
        <v>9</v>
      </c>
      <c r="B19" s="0" t="n">
        <v>1735.95</v>
      </c>
      <c r="C19" s="0" t="n">
        <v>21</v>
      </c>
      <c r="D19" s="0" t="n">
        <v>9</v>
      </c>
      <c r="E19" s="0" t="n">
        <v>0.721754789352417</v>
      </c>
      <c r="F19" s="0" t="n">
        <v>0</v>
      </c>
      <c r="G19" s="0" t="n">
        <v>0.239635705947876</v>
      </c>
      <c r="H19" s="0" t="n">
        <v>15</v>
      </c>
      <c r="I19" s="0" t="s">
        <v>27</v>
      </c>
    </row>
    <row r="20" customFormat="false" ht="15" hidden="false" customHeight="false" outlineLevel="0" collapsed="false">
      <c r="A20" s="0" t="s">
        <v>9</v>
      </c>
      <c r="B20" s="0" t="n">
        <v>3872.2</v>
      </c>
      <c r="C20" s="0" t="n">
        <v>21</v>
      </c>
      <c r="D20" s="0" t="n">
        <v>3</v>
      </c>
      <c r="E20" s="0" t="n">
        <v>0.532588005065918</v>
      </c>
      <c r="F20" s="0" t="n">
        <v>0</v>
      </c>
      <c r="G20" s="0" t="n">
        <v>0.011317253112793</v>
      </c>
      <c r="H20" s="0" t="n">
        <v>6</v>
      </c>
      <c r="I20" s="0" t="s">
        <v>28</v>
      </c>
    </row>
    <row r="21" customFormat="false" ht="15" hidden="false" customHeight="false" outlineLevel="0" collapsed="false">
      <c r="A21" s="0" t="s">
        <v>9</v>
      </c>
      <c r="B21" s="0" t="n">
        <v>4305.05</v>
      </c>
      <c r="C21" s="0" t="n">
        <v>21</v>
      </c>
      <c r="D21" s="0" t="n">
        <v>6</v>
      </c>
      <c r="E21" s="0" t="n">
        <v>7.91670680046082</v>
      </c>
      <c r="F21" s="0" t="n">
        <v>0.0649976206228207</v>
      </c>
      <c r="G21" s="0" t="n">
        <v>0.0284967422485352</v>
      </c>
      <c r="H21" s="0" t="n">
        <v>10</v>
      </c>
      <c r="I21" s="0" t="s">
        <v>11</v>
      </c>
    </row>
    <row r="22" customFormat="false" ht="15" hidden="false" customHeight="false" outlineLevel="0" collapsed="false">
      <c r="A22" s="0" t="s">
        <v>9</v>
      </c>
      <c r="B22" s="0" t="n">
        <v>4659.84999999973</v>
      </c>
      <c r="C22" s="0" t="n">
        <v>21</v>
      </c>
      <c r="D22" s="0" t="n">
        <v>9</v>
      </c>
      <c r="E22" s="0" t="n">
        <v>22.234522819519</v>
      </c>
      <c r="F22" s="0" t="n">
        <v>0.0825524797965629</v>
      </c>
      <c r="G22" s="0" t="n">
        <v>0.695462703704834</v>
      </c>
      <c r="H22" s="0" t="n">
        <v>43</v>
      </c>
      <c r="I22" s="0" t="s">
        <v>29</v>
      </c>
    </row>
    <row r="23" customFormat="false" ht="15" hidden="false" customHeight="false" outlineLevel="0" collapsed="false">
      <c r="A23" s="0" t="s">
        <v>9</v>
      </c>
      <c r="B23" s="0" t="n">
        <v>2555.3</v>
      </c>
      <c r="C23" s="0" t="n">
        <v>21</v>
      </c>
      <c r="D23" s="0" t="n">
        <v>3</v>
      </c>
      <c r="E23" s="0" t="n">
        <v>17.4782559871674</v>
      </c>
      <c r="F23" s="0" t="n">
        <v>0</v>
      </c>
      <c r="G23" s="0" t="n">
        <v>0.112903356552124</v>
      </c>
      <c r="H23" s="0" t="n">
        <v>13</v>
      </c>
      <c r="I23" s="0" t="s">
        <v>30</v>
      </c>
    </row>
    <row r="24" customFormat="false" ht="15" hidden="false" customHeight="false" outlineLevel="0" collapsed="false">
      <c r="A24" s="0" t="s">
        <v>9</v>
      </c>
      <c r="B24" s="0" t="n">
        <v>2784.9</v>
      </c>
      <c r="C24" s="0" t="n">
        <v>21</v>
      </c>
      <c r="D24" s="0" t="n">
        <v>6</v>
      </c>
      <c r="E24" s="0" t="n">
        <v>19.15984416008</v>
      </c>
      <c r="F24" s="0" t="n">
        <v>0</v>
      </c>
      <c r="G24" s="0" t="n">
        <v>3.03021574020386</v>
      </c>
      <c r="H24" s="0" t="n">
        <v>53</v>
      </c>
      <c r="I24" s="0" t="s">
        <v>31</v>
      </c>
    </row>
    <row r="25" customFormat="false" ht="15" hidden="false" customHeight="false" outlineLevel="0" collapsed="false">
      <c r="A25" s="0" t="s">
        <v>9</v>
      </c>
      <c r="B25" s="0" t="n">
        <v>2978.69998217922</v>
      </c>
      <c r="C25" s="0" t="n">
        <v>21</v>
      </c>
      <c r="D25" s="0" t="n">
        <v>9</v>
      </c>
      <c r="E25" s="0" t="n">
        <v>124.068854808807</v>
      </c>
      <c r="F25" s="0" t="n">
        <v>5.9827387102415E-007</v>
      </c>
      <c r="G25" s="0" t="n">
        <v>3.40340352058411</v>
      </c>
      <c r="H25" s="0" t="n">
        <v>54</v>
      </c>
      <c r="I25" s="0" t="s">
        <v>32</v>
      </c>
    </row>
    <row r="26" customFormat="false" ht="15" hidden="false" customHeight="false" outlineLevel="0" collapsed="false">
      <c r="A26" s="0" t="s">
        <v>9</v>
      </c>
      <c r="B26" s="0" t="n">
        <v>3279.65</v>
      </c>
      <c r="C26" s="0" t="n">
        <v>21</v>
      </c>
      <c r="D26" s="0" t="n">
        <v>3</v>
      </c>
      <c r="E26" s="0" t="n">
        <v>0.562803030014038</v>
      </c>
      <c r="F26" s="0" t="n">
        <v>0</v>
      </c>
      <c r="G26" s="0" t="n">
        <v>0.033369779586792</v>
      </c>
      <c r="H26" s="0" t="n">
        <v>10</v>
      </c>
      <c r="I26" s="0" t="s">
        <v>12</v>
      </c>
    </row>
    <row r="27" customFormat="false" ht="15" hidden="false" customHeight="false" outlineLevel="0" collapsed="false">
      <c r="A27" s="0" t="s">
        <v>9</v>
      </c>
      <c r="B27" s="0" t="n">
        <v>3616.05</v>
      </c>
      <c r="C27" s="0" t="n">
        <v>21</v>
      </c>
      <c r="D27" s="0" t="n">
        <v>6</v>
      </c>
      <c r="E27" s="0" t="n">
        <v>1.82902002334595</v>
      </c>
      <c r="F27" s="0" t="n">
        <v>0.0677076136520608</v>
      </c>
      <c r="G27" s="0" t="n">
        <v>0.543830871582031</v>
      </c>
      <c r="H27" s="0" t="n">
        <v>25</v>
      </c>
      <c r="I27" s="0" t="s">
        <v>33</v>
      </c>
    </row>
    <row r="28" customFormat="false" ht="15" hidden="false" customHeight="false" outlineLevel="0" collapsed="false">
      <c r="A28" s="0" t="s">
        <v>9</v>
      </c>
      <c r="B28" s="0" t="n">
        <v>3912.84999999992</v>
      </c>
      <c r="C28" s="0" t="n">
        <v>21</v>
      </c>
      <c r="D28" s="0" t="n">
        <v>9</v>
      </c>
      <c r="E28" s="0" t="n">
        <v>2.53631520271301</v>
      </c>
      <c r="F28" s="0" t="n">
        <v>0.0995723495265588</v>
      </c>
      <c r="G28" s="0" t="n">
        <v>0.980769872665405</v>
      </c>
      <c r="H28" s="0" t="n">
        <v>30</v>
      </c>
      <c r="I28" s="0" t="s">
        <v>34</v>
      </c>
    </row>
    <row r="29" customFormat="false" ht="15" hidden="false" customHeight="false" outlineLevel="0" collapsed="false">
      <c r="A29" s="0" t="s">
        <v>9</v>
      </c>
      <c r="B29" s="0" t="n">
        <v>1614.05</v>
      </c>
      <c r="C29" s="0" t="n">
        <v>21</v>
      </c>
      <c r="D29" s="0" t="n">
        <v>3</v>
      </c>
      <c r="E29" s="0" t="n">
        <v>89.4722690582275</v>
      </c>
      <c r="F29" s="0" t="n">
        <v>0.0990313496116199</v>
      </c>
      <c r="G29" s="0" t="n">
        <v>86.3425786495209</v>
      </c>
      <c r="H29" s="0" t="n">
        <v>289</v>
      </c>
      <c r="I29" s="0" t="s">
        <v>35</v>
      </c>
    </row>
    <row r="30" customFormat="false" ht="15" hidden="false" customHeight="false" outlineLevel="0" collapsed="false">
      <c r="A30" s="0" t="s">
        <v>9</v>
      </c>
      <c r="B30" s="0" t="n">
        <v>1722.15</v>
      </c>
      <c r="C30" s="0" t="n">
        <v>21</v>
      </c>
      <c r="D30" s="0" t="n">
        <v>6</v>
      </c>
      <c r="E30" s="0" t="n">
        <v>495.698493003845</v>
      </c>
      <c r="F30" s="0" t="n">
        <v>0.0812276986452301</v>
      </c>
      <c r="G30" s="0" t="n">
        <v>491.779594182968</v>
      </c>
      <c r="H30" s="0" t="n">
        <v>398</v>
      </c>
      <c r="I30" s="0" t="s">
        <v>36</v>
      </c>
    </row>
    <row r="31" customFormat="false" ht="15" hidden="false" customHeight="false" outlineLevel="0" collapsed="false">
      <c r="A31" s="0" t="s">
        <v>9</v>
      </c>
      <c r="B31" s="0" t="n">
        <v>1887.95</v>
      </c>
      <c r="C31" s="0" t="n">
        <v>21</v>
      </c>
      <c r="D31" s="0" t="n">
        <v>9</v>
      </c>
      <c r="E31" s="0" t="n">
        <v>1.52395486831665</v>
      </c>
      <c r="F31" s="0" t="n">
        <v>1.20434161626755E-014</v>
      </c>
      <c r="G31" s="0" t="n">
        <v>0.983860969543457</v>
      </c>
      <c r="H31" s="0" t="n">
        <v>24</v>
      </c>
      <c r="I31" s="0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21" activeCellId="0" sqref="G21"/>
    </sheetView>
  </sheetViews>
  <sheetFormatPr defaultColWidth="10.4921875" defaultRowHeight="12.8" zeroHeight="false" outlineLevelRow="0" outlineLevelCol="0"/>
  <sheetData>
    <row r="1" customFormat="false" ht="15" hidden="false" customHeight="false" outlineLevel="0" collapsed="false">
      <c r="D1" s="1" t="s">
        <v>38</v>
      </c>
      <c r="E1" s="1" t="s">
        <v>39</v>
      </c>
      <c r="F1" s="1" t="s">
        <v>4</v>
      </c>
    </row>
    <row r="2" customFormat="false" ht="15" hidden="false" customHeight="false" outlineLevel="0" collapsed="false">
      <c r="A2" s="1" t="s">
        <v>40</v>
      </c>
      <c r="B2" s="1" t="n">
        <v>21</v>
      </c>
      <c r="C2" s="1" t="n">
        <v>3</v>
      </c>
      <c r="D2" s="0" t="n">
        <f aca="false">SUMPRODUCT((C2=results!D$2:D$31)*(B2=results!C$2:C$31)*(results!E$2:E$31&lt;3600))</f>
        <v>10</v>
      </c>
      <c r="E2" s="0" t="n">
        <f aca="false">SUMPRODUCT(results!H$2:H$31*(C2=results!D$2:D$31)*(B2=results!C$2:C$31))/10</f>
        <v>52.2</v>
      </c>
      <c r="F2" s="0" t="n">
        <f aca="false">SUMPRODUCT((C2=results!D$2:D$31)*(B2=results!C$2:C$31)*(results!E$2:E$31&lt;3600)*results!E$2:E$31)/D2</f>
        <v>13.3309098005295</v>
      </c>
    </row>
    <row r="3" customFormat="false" ht="15" hidden="false" customHeight="false" outlineLevel="0" collapsed="false">
      <c r="A3" s="1" t="s">
        <v>40</v>
      </c>
      <c r="B3" s="1" t="n">
        <v>21</v>
      </c>
      <c r="C3" s="1" t="n">
        <v>6</v>
      </c>
      <c r="D3" s="0" t="n">
        <f aca="false">SUMPRODUCT((C3=results!D$2:D$31)*(B3=results!C$2:C$31)*(results!E$2:E$31&lt;3600))</f>
        <v>10</v>
      </c>
      <c r="E3" s="0" t="n">
        <f aca="false">SUMPRODUCT(results!H$2:H$31*(C3=results!D$2:D$31)*(B3=results!C$2:C$31))/10</f>
        <v>79.6</v>
      </c>
      <c r="F3" s="0" t="n">
        <f aca="false">SUMPRODUCT((C3=results!D$2:D$31)*(B3=results!C$2:C$31)*(results!E$2:E$31&lt;3600)*results!E$2:E$31)/D3</f>
        <v>56.5712206363678</v>
      </c>
    </row>
    <row r="4" customFormat="false" ht="15" hidden="false" customHeight="false" outlineLevel="0" collapsed="false">
      <c r="A4" s="1" t="s">
        <v>40</v>
      </c>
      <c r="B4" s="1" t="n">
        <v>21</v>
      </c>
      <c r="C4" s="1" t="n">
        <v>9</v>
      </c>
      <c r="D4" s="0" t="n">
        <f aca="false">SUMPRODUCT((C4=results!D$2:D$31)*(B4=results!C$2:C$31)*(results!E$2:E$31&lt;3600))</f>
        <v>10</v>
      </c>
      <c r="E4" s="0" t="n">
        <f aca="false">SUMPRODUCT(results!H$2:H$31*(C4=results!D$2:D$31)*(B4=results!C$2:C$31))/10</f>
        <v>60</v>
      </c>
      <c r="F4" s="0" t="n">
        <f aca="false">SUMPRODUCT((C4=results!D$2:D$31)*(B4=results!C$2:C$31)*(results!E$2:E$31&lt;3600)*results!E$2:E$31)/D4</f>
        <v>22.9925133466721</v>
      </c>
    </row>
    <row r="5" customFormat="false" ht="15" hidden="false" customHeight="false" outlineLevel="0" collapsed="false">
      <c r="A5" s="1" t="s">
        <v>41</v>
      </c>
      <c r="B5" s="1" t="n">
        <v>42</v>
      </c>
      <c r="C5" s="1" t="n">
        <v>3</v>
      </c>
      <c r="D5" s="0" t="n">
        <f aca="false">SUMPRODUCT((C5=results!D$2:D$31)*(B5=results!C$2:C$31)*(results!E$2:E$31&lt;3600))</f>
        <v>0</v>
      </c>
      <c r="E5" s="0" t="n">
        <f aca="false">SUMPRODUCT(results!H$2:H$31*(C5=results!D$2:D$31)*(B5=results!C$2:C$31))/10</f>
        <v>0</v>
      </c>
      <c r="F5" s="0" t="e">
        <f aca="false">SUMPRODUCT((C5=results!D$2:D$31)*(B5=results!C$2:C$31)*(results!E$2:E$31&lt;3600)*results!E$2:E$31)/D5</f>
        <v>#DIV/0!</v>
      </c>
    </row>
    <row r="6" customFormat="false" ht="15" hidden="false" customHeight="false" outlineLevel="0" collapsed="false">
      <c r="A6" s="1" t="s">
        <v>41</v>
      </c>
      <c r="B6" s="1" t="n">
        <v>42</v>
      </c>
      <c r="C6" s="1" t="n">
        <v>6</v>
      </c>
      <c r="D6" s="0" t="n">
        <f aca="false">SUMPRODUCT((C6=results!D$2:D$31)*(B6=results!C$2:C$31)*(results!E$2:E$31&lt;3600))</f>
        <v>0</v>
      </c>
      <c r="E6" s="0" t="n">
        <f aca="false">SUMPRODUCT(results!H$2:H$31*(C6=results!D$2:D$31)*(B6=results!C$2:C$31))/10</f>
        <v>0</v>
      </c>
      <c r="F6" s="0" t="e">
        <f aca="false">SUMPRODUCT((C6=results!D$2:D$31)*(B6=results!C$2:C$31)*(results!E$2:E$31&lt;3600)*results!E$2:E$31)/D6</f>
        <v>#DIV/0!</v>
      </c>
    </row>
    <row r="7" customFormat="false" ht="15" hidden="false" customHeight="false" outlineLevel="0" collapsed="false">
      <c r="A7" s="1" t="s">
        <v>41</v>
      </c>
      <c r="B7" s="1" t="n">
        <v>42</v>
      </c>
      <c r="C7" s="1" t="n">
        <v>9</v>
      </c>
      <c r="D7" s="0" t="n">
        <f aca="false">SUMPRODUCT((C7=results!D$2:D$31)*(B7=results!C$2:C$31)*(results!E$2:E$31&lt;3600))</f>
        <v>0</v>
      </c>
      <c r="E7" s="0" t="n">
        <f aca="false">SUMPRODUCT(results!H$2:H$31*(C7=results!D$2:D$31)*(B7=results!C$2:C$31))/10</f>
        <v>0</v>
      </c>
      <c r="F7" s="0" t="e">
        <f aca="false">SUMPRODUCT((C7=results!D$2:D$31)*(B7=results!C$2:C$31)*(results!E$2:E$31&lt;3600)*results!E$2:E$31)/D7</f>
        <v>#DIV/0!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2026-02-05T23:25:45Z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