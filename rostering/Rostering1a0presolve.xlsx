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2"/>
    <sheet name="Feuille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<sst xmlns="http://schemas.openxmlformats.org/spreadsheetml/2006/main" count="78" uniqueCount="42">
  <si>
    <t xml:space="preserve">method</t>
  </si>
  <si>
    <t xml:space="preserve">objective</t>
  </si>
  <si>
    <t xml:space="preserve">scale</t>
  </si>
  <si>
    <t xml:space="preserve">budget</t>
  </si>
  <si>
    <t xml:space="preserve">Time</t>
  </si>
  <si>
    <t xml:space="preserve">gap</t>
  </si>
  <si>
    <t xml:space="preserve">Time tot worstcase</t>
  </si>
  <si>
    <t xml:space="preserve">Nb iter</t>
  </si>
  <si>
    <t xml:space="preserve">Time per iteration</t>
  </si>
  <si>
    <t xml:space="preserve">LagrangianDual</t>
  </si>
  <si>
    <t xml:space="preserve">[0.0, 0.01, 0.01]</t>
  </si>
  <si>
    <t xml:space="preserve">[0.0, 0.01, 0.02, 0.03]</t>
  </si>
  <si>
    <t xml:space="preserve">[0.0, 0.01, 0.02, 0.04]</t>
  </si>
  <si>
    <t xml:space="preserve">[0.0, 0.01, 0.04, 0.07, 0.09, 0.11, 0.14, 0.14, 0.17, 0.21, 0.2, 0.27, 0.24, 0.3, 0.38, 0.42, 0.39, 0.41, 0.4, 0.47, 0.49, 0.52, 0.55, 0.61, 0.59, 0.63, 0.74, 0.74, 0.74, 0.7, 0.87, 0.78, 0.86, 1.03, 0.88, 0.96, 1.14, 1.22]</t>
  </si>
  <si>
    <t xml:space="preserve">[0.0, 0.01, 0.03, 0.06, 0.07, 0.13, 0.16, 0.2, 0.21, 0.25, 0.3, 0.34, 0.36, 0.41, 0.47, 0.55, 0.67, 0.74, 0.99, 0.86, 0.87, 0.96, 1.34, 1.29, 1.54, 1.27, 1.54, 1.64, 1.7, 1.57, 1.79, 1.9, 2.35, 2.14, 1.86, 2.42, 3.05, 2.89, 2.47, 3.33, 3.48]</t>
  </si>
  <si>
    <t xml:space="preserve">[0.0, 0.01, 0.03, 0.08, 0.08, 0.14, 0.14, 0.16, 0.27, 0.2, 0.44, 0.35, 0.64, 0.64, 0.83, 0.96, 0.9, 1.08, 1.09, 1.07, 1.38, 2.14, 1.75, 2.34, 2.35, 1.5, 2.12, 3.09, 2.31, 2.71, 2.84, 2.68, 3.1, 2.64, 3.29, 3.28, 3.52, 3.2, 4.57, 3.42, 3.87, 3.15, 3.97, 4.85, 6.23, 4.3, 4.67, 3.11, 5.66, 3.74, 4.3, 5.23, 7.99, 3.87, 5.62, 3.44, 7.63, 5.51, 6.41, 6.79, 5.37, 6.44]</t>
  </si>
  <si>
    <t xml:space="preserve">[0.0, 0.01, 0.03, 0.03, 0.05, 0.07, 0.08, 0.11, 0.11]</t>
  </si>
  <si>
    <t xml:space="preserve">[0.0, 0.01, 0.05, 0.06, 0.07, 0.09, 0.1, 0.14, 0.18, 0.2, 0.3, 0.3, 0.3, 0.38, 0.41, 0.32, 0.28, 0.59, 0.46, 0.39, 0.51, 0.7]</t>
  </si>
  <si>
    <t xml:space="preserve">[0.0, 0.01, 0.04, 0.07, 0.1, 0.12, 0.19, 0.23, 0.24, 0.3, 0.31, 0.36, 0.43, 0.56, 0.48, 0.72, 0.67, 0.69, 0.86, 0.99, 0.98, 0.99, 1.02, 1.25, 1.21, 1.52, 1.27, 1.45, 1.7, 1.78, 1.94, 2.3, 2.51, 2.52]</t>
  </si>
  <si>
    <t xml:space="preserve">[0.0, 0.01, 0.02, 0.02, 0.04]</t>
  </si>
  <si>
    <t xml:space="preserve">[0.0, 0.01, 0.03, 0.05, 0.07, 0.08, 0.1, 0.12, 0.16, 0.15, 0.17, 0.22]</t>
  </si>
  <si>
    <t xml:space="preserve">[0.0, 0.01, 0.04, 0.06, 0.07, 0.09, 0.09, 0.13, 0.15, 0.19, 0.23]</t>
  </si>
  <si>
    <t xml:space="preserve">[0.0, 0.01, 0.02]</t>
  </si>
  <si>
    <t xml:space="preserve">[0.0, 0.01, 0.02, 0.04, 0.06, 0.07, 0.08, 0.1, 0.11, 0.13, 0.16, 0.16, 0.19, 0.19, 0.22, 0.22, 0.25, 0.24, 0.31]</t>
  </si>
  <si>
    <t xml:space="preserve">[0.0, 0.01, 0.02, 0.05, 0.06, 0.09, 0.1, 0.11, 0.13, 0.15, 0.19, 0.22, 0.23, 0.23, 0.26, 0.29, 0.31, 0.37, 0.34, 0.41, 0.39, 0.47, 0.48, 0.51, 0.5, 0.62]</t>
  </si>
  <si>
    <t xml:space="preserve">[0.0, 0.01, 0.03, 0.06, 0.08, 0.08, 0.1]</t>
  </si>
  <si>
    <t xml:space="preserve">[0.0, 0.01, 0.03, 0.05, 0.07, 0.1, 0.1]</t>
  </si>
  <si>
    <t xml:space="preserve">[0.0, 0.01, 0.02, 0.05, 0.08, 0.07]</t>
  </si>
  <si>
    <t xml:space="preserve">[0.0, 0.01]</t>
  </si>
  <si>
    <t xml:space="preserve">[0.0, 0.01, 0.03, 0.05, 0.06, 0.07, 0.1, 0.11, 0.13, 0.2, 0.17]</t>
  </si>
  <si>
    <t xml:space="preserve">[0.0, 0.01, 0.03, 0.05, 0.06, 0.08, 0.08, 0.12, 0.13, 0.16, 0.2, 0.2, 0.19, 0.22]</t>
  </si>
  <si>
    <t xml:space="preserve">[0.0, 0.01, 0.03, 0.05, 0.07, 0.08, 0.1, 0.14, 0.15, 0.19, 0.21, 0.27, 0.24, 0.28, 0.32, 0.35, 0.38, 0.4]</t>
  </si>
  <si>
    <t xml:space="preserve">[0.0, 0.01, 0.01, 0.03, 0.04, 0.05]</t>
  </si>
  <si>
    <t xml:space="preserve">[0.0, 0.01, 0.04, 0.04, 0.06, 0.07, 0.09, 0.14, 0.12]</t>
  </si>
  <si>
    <t xml:space="preserve">[0.0, 0.01, 0.04, 0.05, 0.06, 0.08, 0.11, 0.12, 0.15, 0.18]</t>
  </si>
  <si>
    <t xml:space="preserve">[0.0, 0.01, 0.02, 0.06, 0.08, 0.09, 0.12, 0.15, 0.15, 0.23, 0.22, 0.25, 0.32, 0.31, 0.33, 0.41, 0.45, 0.47, 0.43, 0.53, 0.66, 0.54, 0.51, 0.7, 0.6, 0.81, 0.75, 0.74, 0.93, 1.17, 1.26, 1.1, 1.44, 1.45, 1.36, 1.78, 1.34, 1.73, 1.73, 1.66, 1.78, 1.9, 2.14, 2.09, 2.4, 2.13, 2.69, 2.22, 2.57, 3.1, 2.79, 2.97, 2.9, 3.2, 3.38, 3.3, 3.58, 3.89, 3.47, 4.14, 4.73, 4.11, 3.56, 3.71, 4.84, 4.18, 3.89, 5.31, 4.44, 4.97, 3.99, 5.37, 5.29, 5.78, 4.33, 5.46, 5.4, 5.63, 5.1, 5.26, 5.96, 5.43, 5.89, 6.24, 5.98, 7.57, 7.28, 6.92, 6.48, 7.16, 7.61, 7.36, 7.87, 7.97, 8.83, 7.15, 7.16]</t>
  </si>
  <si>
    <t xml:space="preserve">[0.0, 0.01, 0.07, 0.12, 0.11, 0.11, 0.18, 0.3, 0.29, 0.51, 0.64, 0.83, 1.11, 0.69, 0.83, 0.52, 1.09, 1.16, 1.0, 2.09, 1.82, 1.66, 2.91, 1.87, 3.02, 2.38, 1.53, 2.44, 2.24, 4.16, 3.12, 3.19, 3.64, 8.14, 3.22, 5.52, 6.16, 8.1, 7.89, 5.52, 4.42, 7.06, 10.03, 8.47, 11.66, 6.26, 10.36, 7.66, 14.25, 9.55, 9.85, 18.76, 11.49, 10.4, 13.66, 8.67, 14.05, 9.03, 11.38, 19.82, 19.05, 17.5, 15.17, 20.35, 24.42, 27.25, 29.15, 23.87, 30.72, 27.03, 40.11, 22.41, 26.08, 33.87, 41.14, 33.03, 36.67, 34.05, 22.72, 24.69, 38.9, 45.79, 39.25, 35.09, 23.37, 26.8, 32.26, 38.69, 41.37, 27.42, 30.92, 29.01, 34.71, 54.96, 47.92, 31.07, 49.61, 49.92, 45.56, 22.25, 44.55, 47.04, 61.22, 44.64, 33.09, 30.8, 48.06, 58.77, 56.77, 66.88, 50.0, 57.4, 60.97, 62.3, 43.31, 68.34, 60.06, 67.46, 66.78, 64.16, 50.99, 50.3, 59.78, 64.86, 60.99, 57.43, 78.08, 60.27, 45.08, 78.62, 89.67, 67.26, 59.86, 68.41, 22.23]</t>
  </si>
  <si>
    <t xml:space="preserve">[0.0, 0.01, 0.06, 0.38, 0.16, 0.25, 0.22, 0.26, 0.54, 0.75, 0.38]</t>
  </si>
  <si>
    <t xml:space="preserve">Opt</t>
  </si>
  <si>
    <t xml:space="preserve">It</t>
  </si>
  <si>
    <t xml:space="preserve">(12, 3, 21)</t>
  </si>
  <si>
    <t xml:space="preserve">(24, 6, 42)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</si>
</sst>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10.609375" defaultRowHeight="15.75" zeroHeight="false" outlineLevelRow="0" outlineLevelCol="0"/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5.75" hidden="false" customHeight="false" outlineLevel="0" collapsed="false">
      <c r="A2" s="0" t="s">
        <v>9</v>
      </c>
      <c r="B2" s="0" t="n">
        <v>3684.35</v>
      </c>
      <c r="C2" s="0" t="n">
        <v>21</v>
      </c>
      <c r="D2" s="0" t="n">
        <v>3</v>
      </c>
      <c r="E2" s="0" t="n">
        <v>0.5728600025177</v>
      </c>
      <c r="F2" s="0" t="n">
        <v>0</v>
      </c>
      <c r="G2" s="0" t="n">
        <v>0.0438659191131592</v>
      </c>
      <c r="H2" s="0" t="n">
        <v>8</v>
      </c>
      <c r="I2" s="0" t="s">
        <v>10</v>
      </c>
    </row>
    <row r="3" customFormat="false" ht="15.75" hidden="false" customHeight="false" outlineLevel="0" collapsed="false">
      <c r="A3" s="0" t="s">
        <v>9</v>
      </c>
      <c r="B3" s="0" t="n">
        <v>4111.7</v>
      </c>
      <c r="C3" s="0" t="n">
        <v>21</v>
      </c>
      <c r="D3" s="0" t="n">
        <v>6</v>
      </c>
      <c r="E3" s="0" t="n">
        <v>0.695077896118164</v>
      </c>
      <c r="F3" s="0" t="n">
        <v>0</v>
      </c>
      <c r="G3" s="0" t="n">
        <v>0.147420406341553</v>
      </c>
      <c r="H3" s="0" t="n">
        <v>10</v>
      </c>
      <c r="I3" s="0" t="s">
        <v>11</v>
      </c>
    </row>
    <row r="4" customFormat="false" ht="15.75" hidden="false" customHeight="false" outlineLevel="0" collapsed="false">
      <c r="A4" s="0" t="s">
        <v>9</v>
      </c>
      <c r="B4" s="0" t="n">
        <v>4477.15</v>
      </c>
      <c r="C4" s="0" t="n">
        <v>21</v>
      </c>
      <c r="D4" s="0" t="n">
        <v>9</v>
      </c>
      <c r="E4" s="0" t="n">
        <v>0.92841911315918</v>
      </c>
      <c r="F4" s="0" t="n">
        <v>0.0502299415100237</v>
      </c>
      <c r="G4" s="0" t="n">
        <v>0.160881996154785</v>
      </c>
      <c r="H4" s="0" t="n">
        <v>10</v>
      </c>
      <c r="I4" s="0" t="s">
        <v>12</v>
      </c>
    </row>
    <row r="5" customFormat="false" ht="15.75" hidden="false" customHeight="false" outlineLevel="0" collapsed="false">
      <c r="A5" s="0" t="s">
        <v>9</v>
      </c>
      <c r="B5" s="0" t="n">
        <v>1966.3</v>
      </c>
      <c r="C5" s="0" t="n">
        <v>21</v>
      </c>
      <c r="D5" s="0" t="n">
        <v>3</v>
      </c>
      <c r="E5" s="0" t="n">
        <v>55.6558501720428</v>
      </c>
      <c r="F5" s="0" t="n">
        <v>0.0482907612148962</v>
      </c>
      <c r="G5" s="0" t="n">
        <v>52.1313381195068</v>
      </c>
      <c r="H5" s="0" t="n">
        <v>113</v>
      </c>
      <c r="I5" s="0" t="s">
        <v>13</v>
      </c>
    </row>
    <row r="6" customFormat="false" ht="15.75" hidden="false" customHeight="false" outlineLevel="0" collapsed="false">
      <c r="A6" s="0" t="s">
        <v>9</v>
      </c>
      <c r="B6" s="0" t="n">
        <v>2134.95</v>
      </c>
      <c r="C6" s="0" t="n">
        <v>21</v>
      </c>
      <c r="D6" s="0" t="n">
        <v>6</v>
      </c>
      <c r="E6" s="0" t="n">
        <v>92.0800840854645</v>
      </c>
      <c r="F6" s="0" t="n">
        <v>0.0702099276837745</v>
      </c>
      <c r="G6" s="0" t="n">
        <v>89.6682441234589</v>
      </c>
      <c r="H6" s="0" t="n">
        <v>82</v>
      </c>
      <c r="I6" s="0" t="s">
        <v>14</v>
      </c>
    </row>
    <row r="7" customFormat="false" ht="15.75" hidden="false" customHeight="false" outlineLevel="0" collapsed="false">
      <c r="A7" s="0" t="s">
        <v>9</v>
      </c>
      <c r="B7" s="0" t="n">
        <v>2277.35</v>
      </c>
      <c r="C7" s="0" t="n">
        <v>21</v>
      </c>
      <c r="D7" s="0" t="n">
        <v>9</v>
      </c>
      <c r="E7" s="0" t="n">
        <v>354.206408977509</v>
      </c>
      <c r="F7" s="0" t="n">
        <v>0.0965102761510067</v>
      </c>
      <c r="G7" s="0" t="n">
        <v>350.984057188034</v>
      </c>
      <c r="H7" s="0" t="n">
        <v>126</v>
      </c>
      <c r="I7" s="0" t="s">
        <v>15</v>
      </c>
    </row>
    <row r="8" customFormat="false" ht="15.75" hidden="false" customHeight="false" outlineLevel="0" collapsed="false">
      <c r="A8" s="0" t="s">
        <v>9</v>
      </c>
      <c r="B8" s="0" t="n">
        <v>2707.6</v>
      </c>
      <c r="C8" s="0" t="n">
        <v>21</v>
      </c>
      <c r="D8" s="0" t="n">
        <v>3</v>
      </c>
      <c r="E8" s="0" t="n">
        <v>3.85413980484009</v>
      </c>
      <c r="F8" s="0" t="n">
        <v>-0.0591278640059094</v>
      </c>
      <c r="G8" s="0" t="n">
        <v>1.60084295272827</v>
      </c>
      <c r="H8" s="0" t="n">
        <v>35</v>
      </c>
      <c r="I8" s="0" t="s">
        <v>16</v>
      </c>
    </row>
    <row r="9" customFormat="false" ht="15.75" hidden="false" customHeight="false" outlineLevel="0" collapsed="false">
      <c r="A9" s="0" t="s">
        <v>9</v>
      </c>
      <c r="B9" s="0" t="n">
        <v>2970.5</v>
      </c>
      <c r="C9" s="0" t="n">
        <v>21</v>
      </c>
      <c r="D9" s="0" t="n">
        <v>6</v>
      </c>
      <c r="E9" s="0" t="n">
        <v>14.1461510658264</v>
      </c>
      <c r="F9" s="0" t="n">
        <v>0.0958514806531323</v>
      </c>
      <c r="G9" s="0" t="n">
        <v>11.0441446304321</v>
      </c>
      <c r="H9" s="0" t="n">
        <v>54</v>
      </c>
      <c r="I9" s="0" t="s">
        <v>17</v>
      </c>
    </row>
    <row r="10" customFormat="false" ht="15.75" hidden="false" customHeight="false" outlineLevel="0" collapsed="false">
      <c r="A10" s="0" t="s">
        <v>9</v>
      </c>
      <c r="B10" s="0" t="n">
        <v>3163.65</v>
      </c>
      <c r="C10" s="0" t="n">
        <v>21</v>
      </c>
      <c r="D10" s="0" t="n">
        <v>9</v>
      </c>
      <c r="E10" s="0" t="n">
        <v>119.608859062195</v>
      </c>
      <c r="F10" s="0" t="n">
        <v>0.0773822684059195</v>
      </c>
      <c r="G10" s="0" t="n">
        <v>112.558073043823</v>
      </c>
      <c r="H10" s="0" t="n">
        <v>149</v>
      </c>
      <c r="I10" s="0" t="s">
        <v>18</v>
      </c>
    </row>
    <row r="11" customFormat="false" ht="15.75" hidden="false" customHeight="false" outlineLevel="0" collapsed="false">
      <c r="A11" s="0" t="s">
        <v>9</v>
      </c>
      <c r="B11" s="0" t="n">
        <v>2846.3999995</v>
      </c>
      <c r="C11" s="0" t="n">
        <v>21</v>
      </c>
      <c r="D11" s="0" t="n">
        <v>3</v>
      </c>
      <c r="E11" s="0" t="n">
        <v>0.791706085205078</v>
      </c>
      <c r="F11" s="0" t="n">
        <v>1.75659903835889E-008</v>
      </c>
      <c r="G11" s="0" t="n">
        <v>0.148125886917114</v>
      </c>
      <c r="H11" s="0" t="n">
        <v>11</v>
      </c>
      <c r="I11" s="0" t="s">
        <v>19</v>
      </c>
    </row>
    <row r="12" customFormat="false" ht="15.75" hidden="false" customHeight="false" outlineLevel="0" collapsed="false">
      <c r="A12" s="0" t="s">
        <v>9</v>
      </c>
      <c r="B12" s="0" t="n">
        <v>3160.44999999995</v>
      </c>
      <c r="C12" s="0" t="n">
        <v>21</v>
      </c>
      <c r="D12" s="0" t="n">
        <v>6</v>
      </c>
      <c r="E12" s="0" t="n">
        <v>3.17714595794678</v>
      </c>
      <c r="F12" s="0" t="n">
        <v>1.51081244262933E-012</v>
      </c>
      <c r="G12" s="0" t="n">
        <v>2.11129403114319</v>
      </c>
      <c r="H12" s="0" t="n">
        <v>25</v>
      </c>
      <c r="I12" s="0" t="s">
        <v>20</v>
      </c>
    </row>
    <row r="13" customFormat="false" ht="15.75" hidden="false" customHeight="false" outlineLevel="0" collapsed="false">
      <c r="A13" s="0" t="s">
        <v>9</v>
      </c>
      <c r="B13" s="0" t="n">
        <v>3425.4</v>
      </c>
      <c r="C13" s="0" t="n">
        <v>21</v>
      </c>
      <c r="D13" s="0" t="n">
        <v>9</v>
      </c>
      <c r="E13" s="0" t="n">
        <v>4.01543712615967</v>
      </c>
      <c r="F13" s="0" t="n">
        <v>0.0831327936994067</v>
      </c>
      <c r="G13" s="0" t="n">
        <v>2.39327025413513</v>
      </c>
      <c r="H13" s="0" t="n">
        <v>30</v>
      </c>
      <c r="I13" s="0" t="s">
        <v>21</v>
      </c>
    </row>
    <row r="14" customFormat="false" ht="15.75" hidden="false" customHeight="false" outlineLevel="0" collapsed="false">
      <c r="A14" s="0" t="s">
        <v>9</v>
      </c>
      <c r="B14" s="0" t="n">
        <v>6044.5</v>
      </c>
      <c r="C14" s="0" t="n">
        <v>21</v>
      </c>
      <c r="D14" s="0" t="n">
        <v>3</v>
      </c>
      <c r="E14" s="0" t="n">
        <v>0.599184989929199</v>
      </c>
      <c r="F14" s="0" t="n">
        <v>0.0859546754384485</v>
      </c>
      <c r="G14" s="0" t="n">
        <v>0.0662219524383545</v>
      </c>
      <c r="H14" s="0" t="n">
        <v>8</v>
      </c>
      <c r="I14" s="0" t="s">
        <v>22</v>
      </c>
    </row>
    <row r="15" customFormat="false" ht="15.75" hidden="false" customHeight="false" outlineLevel="0" collapsed="false">
      <c r="A15" s="0" t="s">
        <v>9</v>
      </c>
      <c r="B15" s="0" t="n">
        <v>6512.3</v>
      </c>
      <c r="C15" s="0" t="n">
        <v>21</v>
      </c>
      <c r="D15" s="0" t="n">
        <v>6</v>
      </c>
      <c r="E15" s="0" t="n">
        <v>7.06323194503784</v>
      </c>
      <c r="F15" s="0" t="n">
        <v>0.0790186345886756</v>
      </c>
      <c r="G15" s="0" t="n">
        <v>5.20972633361816</v>
      </c>
      <c r="H15" s="0" t="n">
        <v>48</v>
      </c>
      <c r="I15" s="0" t="s">
        <v>23</v>
      </c>
    </row>
    <row r="16" customFormat="false" ht="15.75" hidden="false" customHeight="false" outlineLevel="0" collapsed="false">
      <c r="A16" s="0" t="s">
        <v>9</v>
      </c>
      <c r="B16" s="0" t="n">
        <v>6927.79997237605</v>
      </c>
      <c r="C16" s="0" t="n">
        <v>21</v>
      </c>
      <c r="D16" s="0" t="n">
        <v>9</v>
      </c>
      <c r="E16" s="0" t="n">
        <v>31.6962978839874</v>
      </c>
      <c r="F16" s="0" t="n">
        <v>0.0800482829216753</v>
      </c>
      <c r="G16" s="0" t="n">
        <v>26.2302162647247</v>
      </c>
      <c r="H16" s="0" t="n">
        <v>125</v>
      </c>
      <c r="I16" s="0" t="s">
        <v>24</v>
      </c>
    </row>
    <row r="17" customFormat="false" ht="15.75" hidden="false" customHeight="false" outlineLevel="0" collapsed="false">
      <c r="A17" s="0" t="s">
        <v>9</v>
      </c>
      <c r="B17" s="0" t="n">
        <v>1616.9</v>
      </c>
      <c r="C17" s="0" t="n">
        <v>21</v>
      </c>
      <c r="D17" s="0" t="n">
        <v>3</v>
      </c>
      <c r="E17" s="0" t="n">
        <v>1.36602997779846</v>
      </c>
      <c r="F17" s="0" t="n">
        <v>0.09268413247652</v>
      </c>
      <c r="G17" s="0" t="n">
        <v>0.708969831466675</v>
      </c>
      <c r="H17" s="0" t="n">
        <v>16</v>
      </c>
      <c r="I17" s="0" t="s">
        <v>25</v>
      </c>
    </row>
    <row r="18" customFormat="false" ht="15.75" hidden="false" customHeight="false" outlineLevel="0" collapsed="false">
      <c r="A18" s="0" t="s">
        <v>9</v>
      </c>
      <c r="B18" s="0" t="n">
        <v>1684.05</v>
      </c>
      <c r="C18" s="0" t="n">
        <v>21</v>
      </c>
      <c r="D18" s="0" t="n">
        <v>6</v>
      </c>
      <c r="E18" s="0" t="n">
        <v>1.49336194992065</v>
      </c>
      <c r="F18" s="0" t="n">
        <v>0.0830638701830426</v>
      </c>
      <c r="G18" s="0" t="n">
        <v>0.778246879577637</v>
      </c>
      <c r="H18" s="0" t="n">
        <v>17</v>
      </c>
      <c r="I18" s="0" t="s">
        <v>26</v>
      </c>
    </row>
    <row r="19" customFormat="false" ht="15.75" hidden="false" customHeight="false" outlineLevel="0" collapsed="false">
      <c r="A19" s="0" t="s">
        <v>9</v>
      </c>
      <c r="B19" s="0" t="n">
        <v>1735.95</v>
      </c>
      <c r="C19" s="0" t="n">
        <v>21</v>
      </c>
      <c r="D19" s="0" t="n">
        <v>9</v>
      </c>
      <c r="E19" s="0" t="n">
        <v>1.15105891227722</v>
      </c>
      <c r="F19" s="0" t="n">
        <v>1.00232372612414E-008</v>
      </c>
      <c r="G19" s="0" t="n">
        <v>0.514246702194214</v>
      </c>
      <c r="H19" s="0" t="n">
        <v>15</v>
      </c>
      <c r="I19" s="0" t="s">
        <v>27</v>
      </c>
    </row>
    <row r="20" customFormat="false" ht="15.75" hidden="false" customHeight="false" outlineLevel="0" collapsed="false">
      <c r="A20" s="0" t="s">
        <v>9</v>
      </c>
      <c r="B20" s="0" t="n">
        <v>3872.2</v>
      </c>
      <c r="C20" s="0" t="n">
        <v>21</v>
      </c>
      <c r="D20" s="0" t="n">
        <v>3</v>
      </c>
      <c r="E20" s="0" t="n">
        <v>40.4472439289093</v>
      </c>
      <c r="F20" s="0" t="n">
        <v>0</v>
      </c>
      <c r="G20" s="0" t="n">
        <v>0.0225789546966553</v>
      </c>
      <c r="H20" s="0" t="n">
        <v>6</v>
      </c>
      <c r="I20" s="0" t="s">
        <v>28</v>
      </c>
    </row>
    <row r="21" customFormat="false" ht="15.75" hidden="false" customHeight="false" outlineLevel="0" collapsed="false">
      <c r="A21" s="0" t="s">
        <v>9</v>
      </c>
      <c r="B21" s="0" t="n">
        <v>4305.05</v>
      </c>
      <c r="C21" s="0" t="n">
        <v>21</v>
      </c>
      <c r="D21" s="0" t="n">
        <v>6</v>
      </c>
      <c r="E21" s="0" t="n">
        <v>52.7673540115356</v>
      </c>
      <c r="F21" s="0" t="n">
        <v>0.0649976206228207</v>
      </c>
      <c r="G21" s="0" t="n">
        <v>0.136619091033936</v>
      </c>
      <c r="H21" s="0" t="n">
        <v>10</v>
      </c>
      <c r="I21" s="0" t="s">
        <v>11</v>
      </c>
    </row>
    <row r="22" customFormat="false" ht="15.75" hidden="false" customHeight="false" outlineLevel="0" collapsed="false">
      <c r="A22" s="0" t="s">
        <v>9</v>
      </c>
      <c r="B22" s="0" t="n">
        <v>4659.85</v>
      </c>
      <c r="C22" s="0" t="n">
        <v>21</v>
      </c>
      <c r="D22" s="0" t="n">
        <v>9</v>
      </c>
      <c r="E22" s="0" t="n">
        <v>181.674504995346</v>
      </c>
      <c r="F22" s="0" t="n">
        <v>0.0825524797907124</v>
      </c>
      <c r="G22" s="0" t="n">
        <v>2.51156783103943</v>
      </c>
      <c r="H22" s="0" t="n">
        <v>39</v>
      </c>
      <c r="I22" s="0" t="s">
        <v>29</v>
      </c>
    </row>
    <row r="23" customFormat="false" ht="15.75" hidden="false" customHeight="false" outlineLevel="0" collapsed="false">
      <c r="A23" s="0" t="s">
        <v>9</v>
      </c>
      <c r="B23" s="0" t="n">
        <v>2555.3</v>
      </c>
      <c r="C23" s="0" t="n">
        <v>21</v>
      </c>
      <c r="D23" s="0" t="n">
        <v>3</v>
      </c>
      <c r="E23" s="0" t="n">
        <v>23.8285160064697</v>
      </c>
      <c r="F23" s="0" t="n">
        <v>0</v>
      </c>
      <c r="G23" s="0" t="n">
        <v>0.216630935668945</v>
      </c>
      <c r="H23" s="0" t="n">
        <v>14</v>
      </c>
      <c r="I23" s="0" t="s">
        <v>12</v>
      </c>
    </row>
    <row r="24" customFormat="false" ht="15.75" hidden="false" customHeight="false" outlineLevel="0" collapsed="false">
      <c r="A24" s="0" t="s">
        <v>9</v>
      </c>
      <c r="B24" s="0" t="n">
        <v>2784.9</v>
      </c>
      <c r="C24" s="0" t="n">
        <v>21</v>
      </c>
      <c r="D24" s="0" t="n">
        <v>6</v>
      </c>
      <c r="E24" s="0" t="n">
        <v>10.0581369400024</v>
      </c>
      <c r="F24" s="0" t="n">
        <v>0</v>
      </c>
      <c r="G24" s="0" t="n">
        <v>3.37460589408875</v>
      </c>
      <c r="H24" s="0" t="n">
        <v>37</v>
      </c>
      <c r="I24" s="0" t="s">
        <v>30</v>
      </c>
    </row>
    <row r="25" customFormat="false" ht="15.75" hidden="false" customHeight="false" outlineLevel="0" collapsed="false">
      <c r="A25" s="0" t="s">
        <v>9</v>
      </c>
      <c r="B25" s="0" t="n">
        <v>2978.69999932402</v>
      </c>
      <c r="C25" s="0" t="n">
        <v>21</v>
      </c>
      <c r="D25" s="0" t="n">
        <v>9</v>
      </c>
      <c r="E25" s="0" t="n">
        <v>579.644927978516</v>
      </c>
      <c r="F25" s="0" t="n">
        <v>0.179286562758013</v>
      </c>
      <c r="G25" s="0" t="n">
        <v>24.4144713878632</v>
      </c>
      <c r="H25" s="0" t="n">
        <v>155</v>
      </c>
      <c r="I25" s="0" t="s">
        <v>31</v>
      </c>
    </row>
    <row r="26" customFormat="false" ht="15.75" hidden="false" customHeight="false" outlineLevel="0" collapsed="false">
      <c r="A26" s="0" t="s">
        <v>9</v>
      </c>
      <c r="B26" s="0" t="n">
        <v>3279.65</v>
      </c>
      <c r="C26" s="0" t="n">
        <v>21</v>
      </c>
      <c r="D26" s="0" t="n">
        <v>3</v>
      </c>
      <c r="E26" s="0" t="n">
        <v>0.916045188903809</v>
      </c>
      <c r="F26" s="0" t="n">
        <v>0</v>
      </c>
      <c r="G26" s="0" t="n">
        <v>0.239163398742676</v>
      </c>
      <c r="H26" s="0" t="n">
        <v>13</v>
      </c>
      <c r="I26" s="0" t="s">
        <v>32</v>
      </c>
    </row>
    <row r="27" customFormat="false" ht="15.75" hidden="false" customHeight="false" outlineLevel="0" collapsed="false">
      <c r="A27" s="0" t="s">
        <v>9</v>
      </c>
      <c r="B27" s="0" t="n">
        <v>3618.5</v>
      </c>
      <c r="C27" s="0" t="n">
        <v>21</v>
      </c>
      <c r="D27" s="0" t="n">
        <v>6</v>
      </c>
      <c r="E27" s="0" t="n">
        <v>3.63239097595215</v>
      </c>
      <c r="F27" s="0" t="n">
        <v>0.0924941673454149</v>
      </c>
      <c r="G27" s="0" t="n">
        <v>1.79768919944763</v>
      </c>
      <c r="H27" s="0" t="n">
        <v>34</v>
      </c>
      <c r="I27" s="0" t="s">
        <v>33</v>
      </c>
    </row>
    <row r="28" customFormat="false" ht="15.75" hidden="false" customHeight="false" outlineLevel="0" collapsed="false">
      <c r="A28" s="0" t="s">
        <v>9</v>
      </c>
      <c r="B28" s="0" t="n">
        <v>3912.84999999993</v>
      </c>
      <c r="C28" s="0" t="n">
        <v>21</v>
      </c>
      <c r="D28" s="0" t="n">
        <v>9</v>
      </c>
      <c r="E28" s="0" t="n">
        <v>3.68661403656006</v>
      </c>
      <c r="F28" s="0" t="n">
        <v>0.0995723495261524</v>
      </c>
      <c r="G28" s="0" t="n">
        <v>2.11158084869385</v>
      </c>
      <c r="H28" s="0" t="n">
        <v>30</v>
      </c>
      <c r="I28" s="0" t="s">
        <v>34</v>
      </c>
    </row>
    <row r="29" customFormat="false" ht="15.75" hidden="false" customHeight="false" outlineLevel="0" collapsed="false">
      <c r="A29" s="0" t="s">
        <v>9</v>
      </c>
      <c r="B29" s="0" t="n">
        <v>1614.05</v>
      </c>
      <c r="C29" s="0" t="n">
        <v>21</v>
      </c>
      <c r="D29" s="0" t="n">
        <v>3</v>
      </c>
      <c r="E29" s="0" t="n">
        <v>870.520417928696</v>
      </c>
      <c r="F29" s="0" t="n">
        <v>0.0990313496116199</v>
      </c>
      <c r="G29" s="0" t="n">
        <v>864.572983980179</v>
      </c>
      <c r="H29" s="0" t="n">
        <v>289</v>
      </c>
      <c r="I29" s="0" t="s">
        <v>35</v>
      </c>
    </row>
    <row r="30" customFormat="false" ht="15.75" hidden="false" customHeight="false" outlineLevel="0" collapsed="false">
      <c r="A30" s="0" t="s">
        <v>9</v>
      </c>
      <c r="B30" s="0" t="n">
        <v>1620.6</v>
      </c>
      <c r="C30" s="0" t="n">
        <v>21</v>
      </c>
      <c r="D30" s="0" t="n">
        <v>6</v>
      </c>
      <c r="E30" s="0" t="n">
        <v>3611.12116289139</v>
      </c>
      <c r="F30" s="0" t="n">
        <v>6.56134686346866</v>
      </c>
      <c r="G30" s="0" t="n">
        <v>3607.63537669182</v>
      </c>
      <c r="H30" s="0" t="n">
        <v>137</v>
      </c>
      <c r="I30" s="0" t="s">
        <v>36</v>
      </c>
    </row>
    <row r="31" customFormat="false" ht="15.75" hidden="false" customHeight="false" outlineLevel="0" collapsed="false">
      <c r="A31" s="0" t="s">
        <v>9</v>
      </c>
      <c r="B31" s="0" t="n">
        <v>1887.95</v>
      </c>
      <c r="C31" s="0" t="n">
        <v>21</v>
      </c>
      <c r="D31" s="0" t="n">
        <v>9</v>
      </c>
      <c r="E31" s="0" t="n">
        <v>20.4342410564423</v>
      </c>
      <c r="F31" s="0" t="n">
        <v>0</v>
      </c>
      <c r="G31" s="0" t="n">
        <v>6.00687575340271</v>
      </c>
      <c r="H31" s="0" t="n">
        <v>24</v>
      </c>
      <c r="I31" s="0" t="s">
        <v>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C29" activeCellId="0" sqref="C29"/>
    </sheetView>
  </sheetViews>
  <sheetFormatPr defaultColWidth="10.4921875" defaultRowHeight="12.8" zeroHeight="false" outlineLevelRow="0" outlineLevelCol="0"/>
  <sheetData>
    <row r="1" customFormat="false" ht="15" hidden="false" customHeight="false" outlineLevel="0" collapsed="false">
      <c r="D1" s="1" t="s">
        <v>38</v>
      </c>
      <c r="E1" s="1" t="s">
        <v>39</v>
      </c>
      <c r="F1" s="1" t="s">
        <v>4</v>
      </c>
    </row>
    <row r="2" customFormat="false" ht="15" hidden="false" customHeight="false" outlineLevel="0" collapsed="false">
      <c r="A2" s="1" t="s">
        <v>40</v>
      </c>
      <c r="B2" s="1" t="n">
        <v>21</v>
      </c>
      <c r="C2" s="1" t="n">
        <v>3</v>
      </c>
      <c r="D2" s="0" t="n">
        <f aca="false">SUMPRODUCT((C2=results!D$2:D$31)*(B2=results!C$2:C$31)*(results!E$2:E$31&lt;3600))</f>
        <v>10</v>
      </c>
      <c r="E2" s="0" t="n">
        <f aca="false">SUMPRODUCT(results!H$2:H$31*(C2=results!D$2:D$31)*(B2=results!C$2:C$31))/10</f>
        <v>51.3</v>
      </c>
      <c r="F2" s="0" t="n">
        <f aca="false">SUMPRODUCT((C2=results!D$2:D$31)*(B2=results!C$2:C$31)*(results!E$2:E$31&lt;3600)*results!E$2:E$31)/D2</f>
        <v>99.8551994085312</v>
      </c>
    </row>
    <row r="3" customFormat="false" ht="15" hidden="false" customHeight="false" outlineLevel="0" collapsed="false">
      <c r="A3" s="1" t="s">
        <v>40</v>
      </c>
      <c r="B3" s="1" t="n">
        <v>21</v>
      </c>
      <c r="C3" s="1" t="n">
        <v>6</v>
      </c>
      <c r="D3" s="0" t="n">
        <f aca="false">SUMPRODUCT((C3=results!D$2:D$31)*(B3=results!C$2:C$31)*(results!E$2:E$31&lt;3600))</f>
        <v>9</v>
      </c>
      <c r="E3" s="0" t="n">
        <f aca="false">SUMPRODUCT(results!H$2:H$31*(C3=results!D$2:D$31)*(B3=results!C$2:C$31))/10</f>
        <v>45.4</v>
      </c>
      <c r="F3" s="0" t="n">
        <f aca="false">SUMPRODUCT((C3=results!D$2:D$31)*(B3=results!C$2:C$31)*(results!E$2:E$31&lt;3600)*results!E$2:E$31)/D3</f>
        <v>20.5681038697561</v>
      </c>
    </row>
    <row r="4" customFormat="false" ht="15" hidden="false" customHeight="false" outlineLevel="0" collapsed="false">
      <c r="A4" s="1" t="s">
        <v>40</v>
      </c>
      <c r="B4" s="1" t="n">
        <v>21</v>
      </c>
      <c r="C4" s="1" t="n">
        <v>9</v>
      </c>
      <c r="D4" s="0" t="n">
        <f aca="false">SUMPRODUCT((C4=results!D$2:D$31)*(B4=results!C$2:C$31)*(results!E$2:E$31&lt;3600))</f>
        <v>10</v>
      </c>
      <c r="E4" s="0" t="n">
        <f aca="false">SUMPRODUCT(results!H$2:H$31*(C4=results!D$2:D$31)*(B4=results!C$2:C$31))/10</f>
        <v>70.3</v>
      </c>
      <c r="F4" s="0" t="n">
        <f aca="false">SUMPRODUCT((C4=results!D$2:D$31)*(B4=results!C$2:C$31)*(results!E$2:E$31&lt;3600)*results!E$2:E$31)/D4</f>
        <v>129.704676914215</v>
      </c>
    </row>
    <row r="5" customFormat="false" ht="15" hidden="false" customHeight="false" outlineLevel="0" collapsed="false">
      <c r="A5" s="1" t="s">
        <v>41</v>
      </c>
      <c r="B5" s="1" t="n">
        <v>42</v>
      </c>
      <c r="C5" s="1" t="n">
        <v>3</v>
      </c>
      <c r="D5" s="0" t="n">
        <f aca="false">SUMPRODUCT((C5=results!D$2:D$31)*(B5=results!C$2:C$31)*(results!E$2:E$31&lt;3600))</f>
        <v>0</v>
      </c>
      <c r="E5" s="0" t="n">
        <f aca="false">SUMPRODUCT(results!H$2:H$31*(C5=results!D$2:D$31)*(B5=results!C$2:C$31))/10</f>
        <v>0</v>
      </c>
      <c r="F5" s="0" t="e">
        <f aca="false">SUMPRODUCT((C5=results!D$2:D$31)*(B5=results!C$2:C$31)*(results!E$2:E$31&lt;3600)*results!E$2:E$31)/D5</f>
        <v>#DIV/0!</v>
      </c>
    </row>
    <row r="6" customFormat="false" ht="15" hidden="false" customHeight="false" outlineLevel="0" collapsed="false">
      <c r="A6" s="1" t="s">
        <v>41</v>
      </c>
      <c r="B6" s="1" t="n">
        <v>42</v>
      </c>
      <c r="C6" s="1" t="n">
        <v>6</v>
      </c>
      <c r="D6" s="0" t="n">
        <f aca="false">SUMPRODUCT((C6=results!D$2:D$31)*(B6=results!C$2:C$31)*(results!E$2:E$31&lt;3600))</f>
        <v>0</v>
      </c>
      <c r="E6" s="0" t="n">
        <f aca="false">SUMPRODUCT(results!H$2:H$31*(C6=results!D$2:D$31)*(B6=results!C$2:C$31))/10</f>
        <v>0</v>
      </c>
      <c r="F6" s="0" t="e">
        <f aca="false">SUMPRODUCT((C6=results!D$2:D$31)*(B6=results!C$2:C$31)*(results!E$2:E$31&lt;3600)*results!E$2:E$31)/D6</f>
        <v>#DIV/0!</v>
      </c>
    </row>
    <row r="7" customFormat="false" ht="15" hidden="false" customHeight="false" outlineLevel="0" collapsed="false">
      <c r="A7" s="1" t="s">
        <v>41</v>
      </c>
      <c r="B7" s="1" t="n">
        <v>42</v>
      </c>
      <c r="C7" s="1" t="n">
        <v>9</v>
      </c>
      <c r="D7" s="0" t="n">
        <f aca="false">SUMPRODUCT((C7=results!D$2:D$31)*(B7=results!C$2:C$31)*(results!E$2:E$31&lt;3600))</f>
        <v>0</v>
      </c>
      <c r="E7" s="0" t="n">
        <f aca="false">SUMPRODUCT(results!H$2:H$31*(C7=results!D$2:D$31)*(B7=results!C$2:C$31))/10</f>
        <v>0</v>
      </c>
      <c r="F7" s="0" t="e">
        <f aca="false">SUMPRODUCT((C7=results!D$2:D$31)*(B7=results!C$2:C$31)*(results!E$2:E$31&lt;3600)*results!E$2:E$31)/D7</f>
        <v>#DIV/0!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Roman,Normal"&amp;Kffffff&amp;A</oddHeader>
    <oddFooter>&amp;C&amp;"Times New Roman,Normal"&amp;KffffffPage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2018-05-22T02:41:32Z</dcterms:created>
  <dc:creator>XLSX.jl</dc:creator>
  <dc:description/>
  <dc:language>fr-FR</dc:language>
  <cp:lastModifiedBy/>
  <dcterms:modified xsi:type="dcterms:W3CDTF">2026-02-06T08:20:22Z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